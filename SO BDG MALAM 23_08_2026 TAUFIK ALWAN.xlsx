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️ Master Threshold" sheetId="1" r:id="rId4"/>
    <sheet state="visible" name="Meja Biru + Chiller" sheetId="2" r:id="rId5"/>
    <sheet state="visible" name="Freezer &amp; Alat" sheetId="3" r:id="rId6"/>
    <sheet state="visible" name="Meja Laci (2)" sheetId="4" r:id="rId7"/>
    <sheet state="visible" name="Gas &amp; Utilitas" sheetId="5" r:id="rId8"/>
    <sheet state="visible" name="📊 Dashboard Rekap" sheetId="6" r:id="rId9"/>
  </sheets>
  <definedNames>
    <definedName hidden="1" localSheetId="1" name="_xlnm._FilterDatabase">'Meja Biru + Chiller'!$A$5:$N$67</definedName>
    <definedName hidden="1" localSheetId="2" name="_xlnm._FilterDatabase">'Freezer &amp; Alat'!$A$5:$N$38</definedName>
    <definedName hidden="1" localSheetId="3" name="_xlnm._FilterDatabase">'Meja Laci (2)'!$A$5:$N$51</definedName>
    <definedName hidden="1" localSheetId="4" name="_xlnm._FilterDatabase">'Gas &amp; Utilitas'!$A$1:$F$2</definedName>
  </definedNames>
  <calcPr/>
</workbook>
</file>

<file path=xl/sharedStrings.xml><?xml version="1.0" encoding="utf-8"?>
<sst xmlns="http://schemas.openxmlformats.org/spreadsheetml/2006/main" count="845" uniqueCount="287">
  <si>
    <t>⚙️  MASTER THRESHOLD — Atur Semua Batas Minimum Stok di Sini</t>
  </si>
  <si>
    <t>✏️  Ubah angka di kolom THRESHOLD BARU, lalu simpan file. Semua sheet SO akan otomatis mengikuti.</t>
  </si>
  <si>
    <t>No</t>
  </si>
  <si>
    <t>NAMA BARANG</t>
  </si>
  <si>
    <t>AREA / LOKASI</t>
  </si>
  <si>
    <t>THRESHOLD
SAAT INI</t>
  </si>
  <si>
    <t>THRESHOLD
BARU ✏️</t>
  </si>
  <si>
    <t>KETERANGAN / CATATAN</t>
  </si>
  <si>
    <t>▶  MEJA BIRU DEPAN + CHILLER</t>
  </si>
  <si>
    <t>Tepung Terigu</t>
  </si>
  <si>
    <t>Meja Biru + Chiller</t>
  </si>
  <si>
    <t>Bumbu Mix</t>
  </si>
  <si>
    <t>Minyak Beku</t>
  </si>
  <si>
    <t>Bumbu Marinasi</t>
  </si>
  <si>
    <t>Beras</t>
  </si>
  <si>
    <t>Mango Mint</t>
  </si>
  <si>
    <t>Mint Ice Cream</t>
  </si>
  <si>
    <t>Vanilla Rose</t>
  </si>
  <si>
    <t>Snowy Cheese</t>
  </si>
  <si>
    <t>Tepung Panir</t>
  </si>
  <si>
    <t>Tepung Corndog</t>
  </si>
  <si>
    <t>Cabe Sachet</t>
  </si>
  <si>
    <t>Tomat Sachet</t>
  </si>
  <si>
    <t>Nori</t>
  </si>
  <si>
    <t>Biji Wijen</t>
  </si>
  <si>
    <t>Gula Putih</t>
  </si>
  <si>
    <t>Garam</t>
  </si>
  <si>
    <t>Cajun</t>
  </si>
  <si>
    <t>Samyang</t>
  </si>
  <si>
    <t>Bon Cabe</t>
  </si>
  <si>
    <t>Plastik 15</t>
  </si>
  <si>
    <t>Plastik 24</t>
  </si>
  <si>
    <t>Plastik 30</t>
  </si>
  <si>
    <t>Kaldu Odeng</t>
  </si>
  <si>
    <t>Baking Soda</t>
  </si>
  <si>
    <t>Teh Tong Ji</t>
  </si>
  <si>
    <t>Dus Hampers</t>
  </si>
  <si>
    <t>Box Berbagi</t>
  </si>
  <si>
    <t>Botol Hampers</t>
  </si>
  <si>
    <t>Gas Torch</t>
  </si>
  <si>
    <t>Katsubuoshi</t>
  </si>
  <si>
    <t>Spray Lemon Pepper</t>
  </si>
  <si>
    <t>Minyak Truffel</t>
  </si>
  <si>
    <t>Ultra (susu)</t>
  </si>
  <si>
    <t>Air Gula</t>
  </si>
  <si>
    <t>Mozzarella</t>
  </si>
  <si>
    <t>Kimchi</t>
  </si>
  <si>
    <t>Salted Egg</t>
  </si>
  <si>
    <t>Saos Onion</t>
  </si>
  <si>
    <t>Yangnyeom</t>
  </si>
  <si>
    <t>Garlic Parmesan</t>
  </si>
  <si>
    <t>Takoyaki</t>
  </si>
  <si>
    <t>Bawang Bombay</t>
  </si>
  <si>
    <t>Selai Soju</t>
  </si>
  <si>
    <t>Gochujang</t>
  </si>
  <si>
    <t>BBQ Sauce</t>
  </si>
  <si>
    <t>Mentai</t>
  </si>
  <si>
    <t>Mayonaise</t>
  </si>
  <si>
    <t>Topokki</t>
  </si>
  <si>
    <t>Sosis</t>
  </si>
  <si>
    <t>Gourmet</t>
  </si>
  <si>
    <t>Pasta Strawberry</t>
  </si>
  <si>
    <t>Pasta Blueberry</t>
  </si>
  <si>
    <t>Pasta Banana</t>
  </si>
  <si>
    <t>Air Mineral</t>
  </si>
  <si>
    <t>Keju Parmesan</t>
  </si>
  <si>
    <t>Chili Oil Jago-Jago</t>
  </si>
  <si>
    <t>Cheese Tteokbokki</t>
  </si>
  <si>
    <t>Nashville</t>
  </si>
  <si>
    <t>▶  FREEZER, AYAM &amp; ALAT</t>
  </si>
  <si>
    <t>Wings Baru</t>
  </si>
  <si>
    <t>Freezer &amp; Alat</t>
  </si>
  <si>
    <t>Wings Lama</t>
  </si>
  <si>
    <t>Pop (baru)</t>
  </si>
  <si>
    <t>Pop (lama)</t>
  </si>
  <si>
    <t>Ayam Ekor</t>
  </si>
  <si>
    <t>Reguler Lama</t>
  </si>
  <si>
    <t>Reguler Baru</t>
  </si>
  <si>
    <t>Es Batu</t>
  </si>
  <si>
    <t>Kentang</t>
  </si>
  <si>
    <t>Corndog Moza+Sosis</t>
  </si>
  <si>
    <t>Corndog Sosis</t>
  </si>
  <si>
    <t>Odeng (porsi)</t>
  </si>
  <si>
    <t>Baso Ikan</t>
  </si>
  <si>
    <t>Potato Cheese Ball</t>
  </si>
  <si>
    <t>Dumpling</t>
  </si>
  <si>
    <t>Dimsum Mix</t>
  </si>
  <si>
    <t>Ayam Katsu</t>
  </si>
  <si>
    <t>Cling Pembersih</t>
  </si>
  <si>
    <t>Sabun Cuci Piring</t>
  </si>
  <si>
    <t>S.O.S Karbol</t>
  </si>
  <si>
    <t>Vixal</t>
  </si>
  <si>
    <t>Sendok</t>
  </si>
  <si>
    <t>Mangkuk Stainless</t>
  </si>
  <si>
    <t>Piring Stainless</t>
  </si>
  <si>
    <t>Piring Plastik</t>
  </si>
  <si>
    <t>Keranjang Kotak Hitam Besi</t>
  </si>
  <si>
    <t>Keranjang Bulat Hitam Besi</t>
  </si>
  <si>
    <t>Keranjang Merah Plastik</t>
  </si>
  <si>
    <t>Keranjang Hitam Plastik</t>
  </si>
  <si>
    <t>Gelas Customer</t>
  </si>
  <si>
    <t>▶  MEJA LACI</t>
  </si>
  <si>
    <t>Sticker Thinwal</t>
  </si>
  <si>
    <t>Meja Laci</t>
  </si>
  <si>
    <t>#REF!</t>
  </si>
  <si>
    <t>Solasi Bening</t>
  </si>
  <si>
    <t>Cable Ties</t>
  </si>
  <si>
    <t>Sticky Note</t>
  </si>
  <si>
    <t>Dus Drakor Stock</t>
  </si>
  <si>
    <t>Dus Rice Box</t>
  </si>
  <si>
    <t>Kartu Nama</t>
  </si>
  <si>
    <t>Kertas Struk EDC</t>
  </si>
  <si>
    <t>Sumpit</t>
  </si>
  <si>
    <t>Tusuk Odeng</t>
  </si>
  <si>
    <t>Sendok Kayu</t>
  </si>
  <si>
    <t>Plastik Kentang</t>
  </si>
  <si>
    <t>Plastik Cetik</t>
  </si>
  <si>
    <t>Kertas Nasi Putih</t>
  </si>
  <si>
    <t>Label Biasa</t>
  </si>
  <si>
    <t>Thinwal Biasa</t>
  </si>
  <si>
    <t>Thinwal 1250 ml</t>
  </si>
  <si>
    <t>Thinwal Putih</t>
  </si>
  <si>
    <t>Aluminium Foil</t>
  </si>
  <si>
    <t>Tutup Aluminium</t>
  </si>
  <si>
    <t>Kresek 50</t>
  </si>
  <si>
    <t>Kresek 40</t>
  </si>
  <si>
    <t>Kresek 30 Ayam</t>
  </si>
  <si>
    <t>Dus Corndog</t>
  </si>
  <si>
    <t>Sarung Tangan</t>
  </si>
  <si>
    <t>Tusuk Sate</t>
  </si>
  <si>
    <t>Sedotan</t>
  </si>
  <si>
    <t>Paper Bag</t>
  </si>
  <si>
    <t>Tisu</t>
  </si>
  <si>
    <t>Cup Saos 100 ml</t>
  </si>
  <si>
    <t>Cup Saos 50 ml</t>
  </si>
  <si>
    <t>Cup Saos 35 ml</t>
  </si>
  <si>
    <t>Matcha (sachet)</t>
  </si>
  <si>
    <t>Korean Chocolate (sachet)</t>
  </si>
  <si>
    <t>Skat Drakor</t>
  </si>
  <si>
    <t>Trash Bag</t>
  </si>
  <si>
    <t>Cup Bowl Mochikin</t>
  </si>
  <si>
    <t>Sticker Cup Bowl</t>
  </si>
  <si>
    <t>Cup Minuman Mochikin</t>
  </si>
  <si>
    <t>Cup Minuman Polos</t>
  </si>
  <si>
    <t>Sealer Minuman</t>
  </si>
  <si>
    <t>Thinwal Bento</t>
  </si>
  <si>
    <t>Dus Silver</t>
  </si>
  <si>
    <t>TOTAL ITEM TERDAFTAR</t>
  </si>
  <si>
    <t>← Total seluruh item di semua sheet SO</t>
  </si>
  <si>
    <t>📋 STOK OPNAME HARIAN  —  MEJA BIRU DEPAN + CHILLER</t>
  </si>
  <si>
    <t>TANGGAL / HARI</t>
  </si>
  <si>
    <t>HARI</t>
  </si>
  <si>
    <t>NAMA PETUGAS</t>
  </si>
  <si>
    <t xml:space="preserve">Candra </t>
  </si>
  <si>
    <t>KETERANGAN WARNA STATUS:   🔴 STOK HABIS / KRITIS   🟠 STOK HAMPIR HABIS (&lt; 2× Threshold)   🟢 STOK AMAN</t>
  </si>
  <si>
    <t>STEP 1
HITUNG UTUH
(Qty)</t>
  </si>
  <si>
    <t>STEP 2
HITUNG TERBUKA
(Qty)</t>
  </si>
  <si>
    <t>SATUAN</t>
  </si>
  <si>
    <t>TOTAL
(Step1 + Step2)</t>
  </si>
  <si>
    <t>KONVERSI
(Isi per Pack)</t>
  </si>
  <si>
    <t>KONVERSI
(Keterangan)</t>
  </si>
  <si>
    <t>MIN
THRESHOLD</t>
  </si>
  <si>
    <t>STATUS
STOK</t>
  </si>
  <si>
    <t>REQUEST BARANG
HABIS / KRITIS</t>
  </si>
  <si>
    <t>QTY
Request</t>
  </si>
  <si>
    <t>▶  MEJA BIRU DEPAN</t>
  </si>
  <si>
    <t>kg</t>
  </si>
  <si>
    <t>1 Plastik = 1 kg</t>
  </si>
  <si>
    <t>pcs</t>
  </si>
  <si>
    <t>1 Plastik = 450 gr</t>
  </si>
  <si>
    <t xml:space="preserve">Minyak liquid </t>
  </si>
  <si>
    <t>kg -+</t>
  </si>
  <si>
    <t>1 Karton = 15 kg</t>
  </si>
  <si>
    <t>gr</t>
  </si>
  <si>
    <t>1 Pack = 1200 gr</t>
  </si>
  <si>
    <t>1 Karung = 5 kg</t>
  </si>
  <si>
    <t>1 Pack = 40 gr</t>
  </si>
  <si>
    <t>1 Pack = 380 gr</t>
  </si>
  <si>
    <t>1 Plastik = 200 gr</t>
  </si>
  <si>
    <t>1 Pack = 24 pcs</t>
  </si>
  <si>
    <t>1 Pack = 50 gr</t>
  </si>
  <si>
    <t>1 Pack = 100/250 gr</t>
  </si>
  <si>
    <t>1 Pack = 400 gr</t>
  </si>
  <si>
    <t>1 Pack = 500 gr</t>
  </si>
  <si>
    <t>1 Botol = 200 gr</t>
  </si>
  <si>
    <t>1 Pack = 12 sachet</t>
  </si>
  <si>
    <t>pax</t>
  </si>
  <si>
    <t>1 Pack</t>
  </si>
  <si>
    <t>1 Pack = 200 gr</t>
  </si>
  <si>
    <t>1 Botol = 80 gr</t>
  </si>
  <si>
    <t>1 Pack = 100 pcs</t>
  </si>
  <si>
    <t>1 Pack = 50/100 pcs</t>
  </si>
  <si>
    <t>1 Pack = 25 pcs</t>
  </si>
  <si>
    <t>—</t>
  </si>
  <si>
    <t>Lemon Papper</t>
  </si>
  <si>
    <t>▶  CHILLER</t>
  </si>
  <si>
    <t>1 Dus = 1000 ml</t>
  </si>
  <si>
    <t>gr -+</t>
  </si>
  <si>
    <t>1 Botol = 350 ml</t>
  </si>
  <si>
    <t>1 Pack = 250 gr</t>
  </si>
  <si>
    <t>1 Plastik = 1000 gr</t>
  </si>
  <si>
    <t>1 Toples = 450 gr</t>
  </si>
  <si>
    <t>1 Toples = 1000 gr</t>
  </si>
  <si>
    <t>1 Toples = 400 gr</t>
  </si>
  <si>
    <t>1 Siung = 1 pcs</t>
  </si>
  <si>
    <t>1 Pack = 700 ml</t>
  </si>
  <si>
    <t>1 Pack = 1 kg</t>
  </si>
  <si>
    <t>1 Pack = 1300 gr</t>
  </si>
  <si>
    <t>1 Pack = 1000 gr</t>
  </si>
  <si>
    <t>pcs -+</t>
  </si>
  <si>
    <t>1 Pack = 7-8 pcs</t>
  </si>
  <si>
    <t>1 Btl = 650 ml</t>
  </si>
  <si>
    <t>1 Dus = 12 pcs</t>
  </si>
  <si>
    <t>1 Plastik = 100 gr</t>
  </si>
  <si>
    <t>1 Pack = 205 gr</t>
  </si>
  <si>
    <t>1 Toples = 350 ml</t>
  </si>
  <si>
    <t>TOTAL ITEM DICE</t>
  </si>
  <si>
    <t>ITEM KRITIS:</t>
  </si>
  <si>
    <t>📋 STOK OPNAME HARIAN  —  FREEZER, AYAM &amp; ALAT</t>
  </si>
  <si>
    <t>Candra</t>
  </si>
  <si>
    <t>bungkus -+</t>
  </si>
  <si>
    <t>porsi</t>
  </si>
  <si>
    <t>2 lembar = 1 porsi</t>
  </si>
  <si>
    <t>1 pax = 30 pcs</t>
  </si>
  <si>
    <t>▶  BARANG ALAT &amp; KEBERSIHAN</t>
  </si>
  <si>
    <t>botol -+</t>
  </si>
  <si>
    <t>pax -+</t>
  </si>
  <si>
    <t>botol</t>
  </si>
  <si>
    <t>TOTAL ITEM DICEK</t>
  </si>
  <si>
    <t>📋 STOK OPNAME HARIAN  —  MEJA LACI</t>
  </si>
  <si>
    <t>KETERANGAN WARNA STATUS:   🔴 STOK HABIS / KRITIS   🟠 STOK HAMPIR HABIS (&lt; 2× Threshold)   🟢 STOK AMANf</t>
  </si>
  <si>
    <t>▶  PACKAGING &amp; PERLENGKAPAN OPERASIONAL</t>
  </si>
  <si>
    <t>-+ pcs</t>
  </si>
  <si>
    <t>ikat/pack</t>
  </si>
  <si>
    <t>lembar</t>
  </si>
  <si>
    <t>pax-pcs</t>
  </si>
  <si>
    <t>Thinwal Putih (Berbagi)</t>
  </si>
  <si>
    <t>Tutup Aluminium Bukan Plastik</t>
  </si>
  <si>
    <t>roll</t>
  </si>
  <si>
    <t>⚡ PENCATATAN GAS, LISTRIK &amp; UTILITAS HARIAN</t>
  </si>
  <si>
    <t>ITEM</t>
  </si>
  <si>
    <t>STATUS / QTY</t>
  </si>
  <si>
    <t>TANGGAL ISI / PAKAI</t>
  </si>
  <si>
    <t>KWH / SISA</t>
  </si>
  <si>
    <t>KETERANGAN</t>
  </si>
  <si>
    <t>1</t>
  </si>
  <si>
    <t>Gas 3Kg — Tabung 1</t>
  </si>
  <si>
    <t>habis</t>
  </si>
  <si>
    <t>Kosong</t>
  </si>
  <si>
    <t>2</t>
  </si>
  <si>
    <t>Gas 3Kg — Tabung 2</t>
  </si>
  <si>
    <t>Ada</t>
  </si>
  <si>
    <t>Baru</t>
  </si>
  <si>
    <t>3</t>
  </si>
  <si>
    <t>Gas 12Kg — Tabung 1</t>
  </si>
  <si>
    <t>Habis</t>
  </si>
  <si>
    <t>19 Aug 2026 dipakai</t>
  </si>
  <si>
    <t>4</t>
  </si>
  <si>
    <t>Gas 12Kg — Tabung 2</t>
  </si>
  <si>
    <t>8 Agustus/dipakai 9 agustus</t>
  </si>
  <si>
    <t>5</t>
  </si>
  <si>
    <t>Token Listrik (KWH)</t>
  </si>
  <si>
    <t>6</t>
  </si>
  <si>
    <t>Ganti Minyak Goreng</t>
  </si>
  <si>
    <t>19 Agustus 2026</t>
  </si>
  <si>
    <t>7</t>
  </si>
  <si>
    <t>Catatan Lain</t>
  </si>
  <si>
    <t>📊 DASHBOARD REKAP STOK OPNAME HARIAN</t>
  </si>
  <si>
    <t>Tanggal Laporan:</t>
  </si>
  <si>
    <t>AREA / SHEET</t>
  </si>
  <si>
    <t>Total Item</t>
  </si>
  <si>
    <t>🔴 KRITIS</t>
  </si>
  <si>
    <t>🟠 HAMPIR HABIS</t>
  </si>
  <si>
    <t>🟢 AMAN</t>
  </si>
  <si>
    <t>% Kritis</t>
  </si>
  <si>
    <t>Meja Biru Depan + Chiller</t>
  </si>
  <si>
    <t>Meja Laci (Packaging)</t>
  </si>
  <si>
    <t>TOTAL KESELURUHAN</t>
  </si>
  <si>
    <t>📌 PANDUAN PENGISIAN STOK OPNAME</t>
  </si>
  <si>
    <t>1️⃣  Buka sheet sesuai area (Meja Biru + Chiller / Freezer &amp; Alat / Meja Laci)</t>
  </si>
  <si>
    <t>2️⃣  Isi kolom STEP 1 (Hitung Utuh — stok yang masih dalam kemasan utuh)</t>
  </si>
  <si>
    <t>3️⃣  Isi kolom STEP 2 (Hitung Terbuka — stok yang sudah terbuka / tidak utuh)</t>
  </si>
  <si>
    <t>4️⃣  Kolom TOTAL akan otomatis terhitung (Step 1 + Step 2)</t>
  </si>
  <si>
    <t>5️⃣  Kolom STATUS otomatis: 🔴 KRITIS = stok ≤ threshold | 🟠 HAMPIR HABIS = stok ≤ 2× threshold | 🟢 AMAN</t>
  </si>
  <si>
    <t>6️⃣  Kolom REQUEST otomatis muncul item yang perlu direstok</t>
  </si>
  <si>
    <t>7️⃣  Lihat sheet '📊 Dashboard Rekap' untuk ringkasan semua area</t>
  </si>
  <si>
    <t>⚠️  Sel berwarna KUNING = sel input yang perlu diisi. Jangan ubah sel lainnya!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</si>
</sst>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#,##0.0"/>
    <numFmt numFmtId="166" formatCode="m/d"/>
    <numFmt numFmtId="167" formatCode="d\ mmm\ yyyy"/>
  </numFmts>
  <fonts count="23">
    <font>
      <sz val="11.0"/>
      <color rgb="FF000000"/>
      <name val="Arial"/>
      <scheme val="minor"/>
    </font>
    <font>
      <b/>
      <sz val="14.0"/>
      <color rgb="FFFFFFFF"/>
      <name val="Arial"/>
    </font>
    <font/>
    <font>
      <i/>
      <sz val="10.0"/>
      <color rgb="FF1F3864"/>
      <name val="Arial"/>
    </font>
    <font>
      <sz val="11.0"/>
      <name val="Calibri"/>
    </font>
    <font>
      <b/>
      <sz val="10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  <font>
      <i/>
      <sz val="9.0"/>
      <color rgb="FF000000"/>
      <name val="Arial"/>
    </font>
    <font>
      <b/>
      <sz val="10.0"/>
      <color rgb="FF555555"/>
      <name val="Arial"/>
    </font>
    <font>
      <b/>
      <sz val="11.0"/>
      <color rgb="FF1F3864"/>
      <name val="Arial"/>
    </font>
    <font>
      <b/>
      <sz val="10.0"/>
      <color rgb="FF000000"/>
      <name val="Arial"/>
    </font>
    <font>
      <i/>
      <sz val="9.0"/>
      <color rgb="FF444444"/>
      <name val="Arial"/>
    </font>
    <font>
      <b/>
      <sz val="9.0"/>
      <color rgb="FFFFFFFF"/>
      <name val="Arial"/>
    </font>
    <font>
      <sz val="9.0"/>
      <color rgb="FF000000"/>
      <name val="Arial"/>
    </font>
    <font>
      <sz val="10.0"/>
      <color rgb="FF1F3864"/>
      <name val="Arial"/>
    </font>
    <font>
      <sz val="10.0"/>
      <color rgb="FF191919"/>
      <name val="Arial"/>
    </font>
    <font>
      <b/>
      <sz val="10.0"/>
      <color rgb="FF191919"/>
      <name val="Arial"/>
    </font>
    <font>
      <i/>
      <sz val="9.0"/>
      <color rgb="FF191919"/>
      <name val="Arial"/>
    </font>
    <font>
      <sz val="11.0"/>
      <color rgb="FF191919"/>
      <name val="Calibri"/>
    </font>
    <font>
      <sz val="9.0"/>
      <color rgb="FF191919"/>
      <name val="Arial"/>
    </font>
    <font>
      <b/>
      <sz val="16.0"/>
      <color rgb="FFFFFFFF"/>
      <name val="Arial"/>
    </font>
    <font>
      <b/>
      <sz val="11.0"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FFDEDE"/>
        <bgColor rgb="FFFFDEDE"/>
      </patternFill>
    </fill>
    <fill>
      <patternFill patternType="solid">
        <fgColor rgb="FFFCE4D6"/>
        <bgColor rgb="FFFCE4D6"/>
      </patternFill>
    </fill>
  </fills>
  <borders count="10">
    <border/>
    <border>
      <left style="thin">
        <color rgb="FFBDD7EE"/>
      </left>
      <top style="thin">
        <color rgb="FFBDD7EE"/>
      </top>
      <bottom style="thin">
        <color rgb="FFBDD7EE"/>
      </bottom>
    </border>
    <border>
      <top style="thin">
        <color rgb="FFBDD7EE"/>
      </top>
      <bottom style="thin">
        <color rgb="FFBDD7EE"/>
      </bottom>
    </border>
    <border>
      <left/>
      <top/>
      <bottom/>
    </border>
    <border>
      <top/>
      <bottom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BDD7EE"/>
      </left>
      <right style="thin">
        <color rgb="FFBDD7EE"/>
      </right>
      <top/>
      <bottom style="thin">
        <color rgb="FFBDD7EE"/>
      </bottom>
    </border>
    <border>
      <left style="thin">
        <color rgb="FFBDD7EE"/>
      </left>
      <right/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3" fillId="4" fontId="4" numFmtId="0" xfId="0" applyBorder="1" applyFill="1" applyFont="1"/>
    <xf borderId="4" fillId="0" fontId="2" numFmtId="0" xfId="0" applyBorder="1" applyFont="1"/>
    <xf borderId="5" fillId="2" fontId="5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vertical="center"/>
    </xf>
    <xf borderId="5" fillId="3" fontId="7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left" vertical="center"/>
    </xf>
    <xf borderId="5" fillId="3" fontId="8" numFmtId="0" xfId="0" applyAlignment="1" applyBorder="1" applyFont="1">
      <alignment horizontal="left" vertical="center"/>
    </xf>
    <xf borderId="5" fillId="6" fontId="9" numFmtId="0" xfId="0" applyAlignment="1" applyBorder="1" applyFill="1" applyFont="1">
      <alignment horizontal="center" vertical="center"/>
    </xf>
    <xf borderId="6" fillId="7" fontId="10" numFmtId="0" xfId="0" applyAlignment="1" applyBorder="1" applyFill="1" applyFont="1">
      <alignment horizontal="center" vertical="center"/>
    </xf>
    <xf borderId="5" fillId="6" fontId="4" numFmtId="0" xfId="0" applyBorder="1" applyFont="1"/>
    <xf borderId="5" fillId="4" fontId="7" numFmtId="0" xfId="0" applyAlignment="1" applyBorder="1" applyFont="1">
      <alignment horizontal="center" vertical="center"/>
    </xf>
    <xf borderId="5" fillId="4" fontId="7" numFmtId="0" xfId="0" applyAlignment="1" applyBorder="1" applyFont="1">
      <alignment horizontal="left" vertical="center"/>
    </xf>
    <xf borderId="5" fillId="4" fontId="8" numFmtId="0" xfId="0" applyAlignment="1" applyBorder="1" applyFont="1">
      <alignment horizontal="left" vertical="center"/>
    </xf>
    <xf borderId="6" fillId="0" fontId="10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right" vertical="center"/>
    </xf>
    <xf borderId="5" fillId="8" fontId="11" numFmtId="0" xfId="0" applyAlignment="1" applyBorder="1" applyFill="1" applyFont="1">
      <alignment horizontal="center" vertical="center"/>
    </xf>
    <xf borderId="1" fillId="8" fontId="8" numFmtId="0" xfId="0" applyAlignment="1" applyBorder="1" applyFont="1">
      <alignment horizontal="left" vertical="center"/>
    </xf>
    <xf borderId="1" fillId="9" fontId="5" numFmtId="0" xfId="0" applyAlignment="1" applyBorder="1" applyFill="1" applyFont="1">
      <alignment horizontal="center" vertical="center"/>
    </xf>
    <xf borderId="7" fillId="0" fontId="2" numFmtId="0" xfId="0" applyBorder="1" applyFont="1"/>
    <xf borderId="1" fillId="7" fontId="7" numFmtId="164" xfId="0" applyAlignment="1" applyBorder="1" applyFont="1" applyNumberFormat="1">
      <alignment horizontal="center" vertical="center"/>
    </xf>
    <xf borderId="1" fillId="7" fontId="7" numFmtId="0" xfId="0" applyAlignment="1" applyBorder="1" applyFont="1">
      <alignment horizontal="center" vertical="center"/>
    </xf>
    <xf borderId="1" fillId="7" fontId="7" numFmtId="0" xfId="0" applyAlignment="1" applyBorder="1" applyFont="1">
      <alignment horizontal="left" vertical="center"/>
    </xf>
    <xf borderId="1" fillId="6" fontId="12" numFmtId="0" xfId="0" applyAlignment="1" applyBorder="1" applyFont="1">
      <alignment horizontal="left" vertical="center"/>
    </xf>
    <xf borderId="8" fillId="2" fontId="13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readingOrder="0" vertical="center"/>
    </xf>
    <xf borderId="5" fillId="7" fontId="6" numFmtId="0" xfId="0" applyAlignment="1" applyBorder="1" applyFont="1">
      <alignment horizontal="center" vertical="center"/>
    </xf>
    <xf borderId="5" fillId="10" fontId="6" numFmtId="0" xfId="0" applyAlignment="1" applyBorder="1" applyFill="1" applyFont="1">
      <alignment horizontal="center" vertical="center"/>
    </xf>
    <xf borderId="5" fillId="4" fontId="14" numFmtId="0" xfId="0" applyAlignment="1" applyBorder="1" applyFont="1">
      <alignment horizontal="left" vertical="center"/>
    </xf>
    <xf borderId="5" fillId="4" fontId="14" numFmtId="0" xfId="0" applyAlignment="1" applyBorder="1" applyFont="1">
      <alignment horizontal="center" vertical="center"/>
    </xf>
    <xf borderId="5" fillId="3" fontId="14" numFmtId="0" xfId="0" applyAlignment="1" applyBorder="1" applyFont="1">
      <alignment horizontal="left" vertical="center"/>
    </xf>
    <xf borderId="5" fillId="3" fontId="14" numFmtId="0" xfId="0" applyAlignment="1" applyBorder="1" applyFont="1">
      <alignment horizontal="center" vertical="center"/>
    </xf>
    <xf borderId="5" fillId="7" fontId="6" numFmtId="4" xfId="0" applyAlignment="1" applyBorder="1" applyFont="1" applyNumberFormat="1">
      <alignment horizontal="center" readingOrder="0" vertical="center"/>
    </xf>
    <xf borderId="5" fillId="8" fontId="11" numFmtId="3" xfId="0" applyAlignment="1" applyBorder="1" applyFont="1" applyNumberFormat="1">
      <alignment horizontal="center" vertical="center"/>
    </xf>
    <xf borderId="5" fillId="3" fontId="7" numFmtId="0" xfId="0" applyAlignment="1" applyBorder="1" applyFont="1">
      <alignment horizontal="center"/>
    </xf>
    <xf borderId="5" fillId="3" fontId="7" numFmtId="0" xfId="0" applyAlignment="1" applyBorder="1" applyFont="1">
      <alignment horizontal="left"/>
    </xf>
    <xf borderId="5" fillId="7" fontId="6" numFmtId="0" xfId="0" applyAlignment="1" applyBorder="1" applyFont="1">
      <alignment horizontal="center"/>
    </xf>
    <xf borderId="5" fillId="7" fontId="6" numFmtId="0" xfId="0" applyAlignment="1" applyBorder="1" applyFont="1">
      <alignment horizontal="center" readingOrder="0"/>
    </xf>
    <xf borderId="5" fillId="8" fontId="11" numFmtId="0" xfId="0" applyAlignment="1" applyBorder="1" applyFont="1">
      <alignment horizontal="center"/>
    </xf>
    <xf borderId="5" fillId="3" fontId="8" numFmtId="0" xfId="0" applyAlignment="1" applyBorder="1" applyFont="1">
      <alignment horizontal="left"/>
    </xf>
    <xf borderId="5" fillId="10" fontId="6" numFmtId="0" xfId="0" applyAlignment="1" applyBorder="1" applyFont="1">
      <alignment horizontal="center"/>
    </xf>
    <xf borderId="5" fillId="3" fontId="14" numFmtId="0" xfId="0" applyAlignment="1" applyBorder="1" applyFont="1">
      <alignment horizontal="left"/>
    </xf>
    <xf borderId="5" fillId="3" fontId="14" numFmtId="0" xfId="0" applyAlignment="1" applyBorder="1" applyFont="1">
      <alignment horizontal="center"/>
    </xf>
    <xf borderId="9" fillId="4" fontId="7" numFmtId="0" xfId="0" applyAlignment="1" applyBorder="1" applyFont="1">
      <alignment horizontal="center" vertical="center"/>
    </xf>
    <xf borderId="9" fillId="4" fontId="7" numFmtId="0" xfId="0" applyAlignment="1" applyBorder="1" applyFont="1">
      <alignment horizontal="left" vertical="center"/>
    </xf>
    <xf borderId="9" fillId="7" fontId="6" numFmtId="0" xfId="0" applyAlignment="1" applyBorder="1" applyFont="1">
      <alignment horizontal="center" vertical="center"/>
    </xf>
    <xf borderId="9" fillId="8" fontId="11" numFmtId="0" xfId="0" applyAlignment="1" applyBorder="1" applyFont="1">
      <alignment horizontal="center" vertical="center"/>
    </xf>
    <xf borderId="9" fillId="4" fontId="8" numFmtId="0" xfId="0" applyAlignment="1" applyBorder="1" applyFont="1">
      <alignment horizontal="left" vertical="center"/>
    </xf>
    <xf borderId="9" fillId="6" fontId="4" numFmtId="0" xfId="0" applyBorder="1" applyFont="1"/>
    <xf borderId="9" fillId="4" fontId="14" numFmtId="0" xfId="0" applyAlignment="1" applyBorder="1" applyFont="1">
      <alignment horizontal="left" vertical="center"/>
    </xf>
    <xf borderId="9" fillId="4" fontId="14" numFmtId="0" xfId="0" applyAlignment="1" applyBorder="1" applyFont="1">
      <alignment horizontal="center" vertical="center"/>
    </xf>
    <xf borderId="9" fillId="7" fontId="6" numFmtId="0" xfId="0" applyAlignment="1" applyBorder="1" applyFont="1">
      <alignment horizontal="center" readingOrder="0" vertical="center"/>
    </xf>
    <xf borderId="5" fillId="7" fontId="15" numFmtId="0" xfId="0" applyAlignment="1" applyBorder="1" applyFont="1">
      <alignment horizontal="center" readingOrder="0" vertical="center"/>
    </xf>
    <xf borderId="5" fillId="4" fontId="16" numFmtId="0" xfId="0" applyAlignment="1" applyBorder="1" applyFont="1">
      <alignment horizontal="center" vertical="center"/>
    </xf>
    <xf borderId="5" fillId="4" fontId="16" numFmtId="0" xfId="0" applyAlignment="1" applyBorder="1" applyFont="1">
      <alignment horizontal="left" vertical="center"/>
    </xf>
    <xf borderId="5" fillId="7" fontId="17" numFmtId="0" xfId="0" applyAlignment="1" applyBorder="1" applyFont="1">
      <alignment horizontal="center" vertical="center"/>
    </xf>
    <xf borderId="5" fillId="7" fontId="17" numFmtId="0" xfId="0" applyAlignment="1" applyBorder="1" applyFont="1">
      <alignment horizontal="center" readingOrder="0" vertical="center"/>
    </xf>
    <xf borderId="5" fillId="8" fontId="17" numFmtId="0" xfId="0" applyAlignment="1" applyBorder="1" applyFont="1">
      <alignment horizontal="center" vertical="center"/>
    </xf>
    <xf borderId="5" fillId="4" fontId="18" numFmtId="0" xfId="0" applyAlignment="1" applyBorder="1" applyFont="1">
      <alignment horizontal="left" vertical="center"/>
    </xf>
    <xf borderId="5" fillId="10" fontId="17" numFmtId="0" xfId="0" applyAlignment="1" applyBorder="1" applyFont="1">
      <alignment horizontal="center" vertical="center"/>
    </xf>
    <xf borderId="5" fillId="6" fontId="19" numFmtId="0" xfId="0" applyBorder="1" applyFont="1"/>
    <xf borderId="5" fillId="4" fontId="20" numFmtId="0" xfId="0" applyAlignment="1" applyBorder="1" applyFont="1">
      <alignment horizontal="left" vertical="center"/>
    </xf>
    <xf borderId="5" fillId="4" fontId="20" numFmtId="0" xfId="0" applyAlignment="1" applyBorder="1" applyFont="1">
      <alignment horizontal="center" vertical="center"/>
    </xf>
    <xf borderId="5" fillId="11" fontId="11" numFmtId="0" xfId="0" applyAlignment="1" applyBorder="1" applyFill="1" applyFont="1">
      <alignment horizontal="center" vertical="center"/>
    </xf>
    <xf borderId="1" fillId="12" fontId="11" numFmtId="0" xfId="0" applyAlignment="1" applyBorder="1" applyFill="1" applyFont="1">
      <alignment horizontal="center" vertical="center"/>
    </xf>
    <xf borderId="0" fillId="0" fontId="4" numFmtId="0" xfId="0" applyFont="1"/>
    <xf borderId="1" fillId="7" fontId="7" numFmtId="14" xfId="0" applyAlignment="1" applyBorder="1" applyFont="1" applyNumberFormat="1">
      <alignment horizontal="center" vertical="center"/>
    </xf>
    <xf borderId="5" fillId="2" fontId="13" numFmtId="0" xfId="0" applyAlignment="1" applyBorder="1" applyFont="1">
      <alignment horizontal="center" shrinkToFit="0" vertical="center" wrapText="1"/>
    </xf>
    <xf borderId="5" fillId="7" fontId="6" numFmtId="165" xfId="0" applyAlignment="1" applyBorder="1" applyFont="1" applyNumberFormat="1">
      <alignment horizontal="center" vertical="center"/>
    </xf>
    <xf borderId="5" fillId="8" fontId="11" numFmtId="166" xfId="0" applyAlignment="1" applyBorder="1" applyFont="1" applyNumberFormat="1">
      <alignment horizontal="center" vertical="center"/>
    </xf>
    <xf borderId="5" fillId="7" fontId="7" numFmtId="0" xfId="0" applyAlignment="1" applyBorder="1" applyFont="1">
      <alignment horizontal="center" vertical="center"/>
    </xf>
    <xf borderId="5" fillId="7" fontId="7" numFmtId="14" xfId="0" applyAlignment="1" applyBorder="1" applyFont="1" applyNumberFormat="1">
      <alignment horizontal="center" vertical="center"/>
    </xf>
    <xf borderId="5" fillId="7" fontId="7" numFmtId="0" xfId="0" applyAlignment="1" applyBorder="1" applyFont="1">
      <alignment horizontal="left" vertical="center"/>
    </xf>
    <xf borderId="5" fillId="7" fontId="7" numFmtId="167" xfId="0" applyAlignment="1" applyBorder="1" applyFont="1" applyNumberFormat="1">
      <alignment horizontal="center" readingOrder="0" vertical="center"/>
    </xf>
    <xf borderId="5" fillId="7" fontId="7" numFmtId="0" xfId="0" applyAlignment="1" applyBorder="1" applyFont="1">
      <alignment horizontal="center" readingOrder="0" vertical="center"/>
    </xf>
    <xf borderId="5" fillId="7" fontId="7" numFmtId="0" xfId="0" applyAlignment="1" applyBorder="1" applyFont="1">
      <alignment horizontal="left" readingOrder="0" vertical="center"/>
    </xf>
    <xf borderId="1" fillId="2" fontId="21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right" vertical="center"/>
    </xf>
    <xf borderId="1" fillId="7" fontId="11" numFmtId="14" xfId="0" applyAlignment="1" applyBorder="1" applyFont="1" applyNumberFormat="1">
      <alignment horizontal="center" vertical="center"/>
    </xf>
    <xf borderId="5" fillId="12" fontId="11" numFmtId="0" xfId="0" applyAlignment="1" applyBorder="1" applyFont="1">
      <alignment horizontal="center" vertical="center"/>
    </xf>
    <xf borderId="5" fillId="3" fontId="11" numFmtId="9" xfId="0" applyAlignment="1" applyBorder="1" applyFont="1" applyNumberFormat="1">
      <alignment horizontal="center" vertical="center"/>
    </xf>
    <xf borderId="5" fillId="4" fontId="11" numFmtId="9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5" fillId="8" fontId="11" numFmtId="9" xfId="0" applyAlignment="1" applyBorder="1" applyFont="1" applyNumberFormat="1">
      <alignment horizontal="center" vertical="center"/>
    </xf>
    <xf borderId="1" fillId="9" fontId="22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vertical="center"/>
    </xf>
    <xf borderId="1" fillId="4" fontId="7" numFmtId="0" xfId="0" applyAlignment="1" applyBorder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FDEDE"/>
          <bgColor rgb="FFFFDED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6.0"/>
    <col customWidth="1" min="3" max="3" width="22.0"/>
    <col customWidth="1" min="4" max="5" width="14.0"/>
    <col customWidth="1" min="6" max="6" width="22.0"/>
    <col customWidth="1" min="7" max="7" width="5.0"/>
  </cols>
  <sheetData>
    <row r="1" ht="39.75" customHeight="1">
      <c r="A1" s="1" t="s">
        <v>0</v>
      </c>
      <c r="B1" s="2"/>
      <c r="C1" s="2"/>
      <c r="D1" s="2"/>
      <c r="E1" s="2"/>
      <c r="F1" s="2"/>
      <c r="G1" s="2"/>
    </row>
    <row r="2" ht="21.75" customHeight="1">
      <c r="A2" s="3" t="s">
        <v>1</v>
      </c>
      <c r="B2" s="2"/>
      <c r="C2" s="2"/>
      <c r="D2" s="2"/>
      <c r="E2" s="2"/>
      <c r="F2" s="2"/>
      <c r="G2" s="2"/>
    </row>
    <row r="3" ht="6.0" customHeight="1">
      <c r="A3" s="4"/>
      <c r="B3" s="5"/>
      <c r="C3" s="5"/>
      <c r="D3" s="5"/>
      <c r="E3" s="5"/>
      <c r="F3" s="5"/>
      <c r="G3" s="5"/>
    </row>
    <row r="4" ht="31.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/>
    </row>
    <row r="5" ht="19.5" customHeight="1">
      <c r="A5" s="7" t="s">
        <v>8</v>
      </c>
      <c r="B5" s="2"/>
      <c r="C5" s="2"/>
      <c r="D5" s="2"/>
      <c r="E5" s="2"/>
      <c r="F5" s="2"/>
      <c r="G5" s="2"/>
    </row>
    <row r="6" ht="18.0" customHeight="1">
      <c r="A6" s="8">
        <v>1.0</v>
      </c>
      <c r="B6" s="9" t="s">
        <v>9</v>
      </c>
      <c r="C6" s="10" t="s">
        <v>10</v>
      </c>
      <c r="D6" s="11" t="str">
        <f>'Meja Biru + Chiller'!I7</f>
        <v>2</v>
      </c>
      <c r="E6" s="12">
        <v>2.0</v>
      </c>
      <c r="F6" s="9"/>
      <c r="G6" s="13"/>
    </row>
    <row r="7" ht="18.0" customHeight="1">
      <c r="A7" s="14">
        <v>2.0</v>
      </c>
      <c r="B7" s="15" t="s">
        <v>11</v>
      </c>
      <c r="C7" s="16" t="s">
        <v>10</v>
      </c>
      <c r="D7" s="11" t="str">
        <f>'Meja Biru + Chiller'!I8</f>
        <v>1</v>
      </c>
      <c r="E7" s="12">
        <v>1.0</v>
      </c>
      <c r="F7" s="15"/>
      <c r="G7" s="13"/>
    </row>
    <row r="8" ht="18.0" customHeight="1">
      <c r="A8" s="8">
        <v>3.0</v>
      </c>
      <c r="B8" s="9" t="s">
        <v>12</v>
      </c>
      <c r="C8" s="10" t="s">
        <v>10</v>
      </c>
      <c r="D8" s="11" t="str">
        <f>'Meja Biru + Chiller'!I9</f>
        <v>5</v>
      </c>
      <c r="E8" s="12">
        <v>5.0</v>
      </c>
      <c r="F8" s="9"/>
      <c r="G8" s="13"/>
    </row>
    <row r="9" ht="18.0" customHeight="1">
      <c r="A9" s="14">
        <v>4.0</v>
      </c>
      <c r="B9" s="15" t="s">
        <v>13</v>
      </c>
      <c r="C9" s="16" t="s">
        <v>10</v>
      </c>
      <c r="D9" s="11" t="str">
        <f>'Meja Biru + Chiller'!I10</f>
        <v>125</v>
      </c>
      <c r="E9" s="12">
        <v>125.0</v>
      </c>
      <c r="F9" s="15"/>
      <c r="G9" s="13"/>
    </row>
    <row r="10" ht="18.0" customHeight="1">
      <c r="A10" s="8">
        <v>5.0</v>
      </c>
      <c r="B10" s="9" t="s">
        <v>14</v>
      </c>
      <c r="C10" s="10" t="s">
        <v>10</v>
      </c>
      <c r="D10" s="11" t="str">
        <f>'Meja Biru + Chiller'!I11</f>
        <v>1</v>
      </c>
      <c r="E10" s="12">
        <v>1.0</v>
      </c>
      <c r="F10" s="9"/>
      <c r="G10" s="13"/>
    </row>
    <row r="11" ht="18.0" customHeight="1">
      <c r="A11" s="14">
        <v>6.0</v>
      </c>
      <c r="B11" s="15" t="s">
        <v>15</v>
      </c>
      <c r="C11" s="16" t="s">
        <v>10</v>
      </c>
      <c r="D11" s="11" t="str">
        <f>'Meja Biru + Chiller'!I12</f>
        <v>8</v>
      </c>
      <c r="E11" s="12">
        <v>8.0</v>
      </c>
      <c r="F11" s="15"/>
      <c r="G11" s="13"/>
    </row>
    <row r="12" ht="18.0" customHeight="1">
      <c r="A12" s="8">
        <v>7.0</v>
      </c>
      <c r="B12" s="9" t="s">
        <v>16</v>
      </c>
      <c r="C12" s="10" t="s">
        <v>10</v>
      </c>
      <c r="D12" s="11" t="str">
        <f>'Meja Biru + Chiller'!I13</f>
        <v>8</v>
      </c>
      <c r="E12" s="12">
        <v>8.0</v>
      </c>
      <c r="F12" s="9"/>
      <c r="G12" s="13"/>
    </row>
    <row r="13" ht="18.0" customHeight="1">
      <c r="A13" s="14">
        <v>8.0</v>
      </c>
      <c r="B13" s="15" t="s">
        <v>17</v>
      </c>
      <c r="C13" s="16" t="s">
        <v>10</v>
      </c>
      <c r="D13" s="11" t="str">
        <f>'Meja Biru + Chiller'!I14</f>
        <v>8</v>
      </c>
      <c r="E13" s="12">
        <v>8.0</v>
      </c>
      <c r="F13" s="15"/>
      <c r="G13" s="13"/>
    </row>
    <row r="14" ht="18.0" customHeight="1">
      <c r="A14" s="8">
        <v>9.0</v>
      </c>
      <c r="B14" s="9" t="s">
        <v>18</v>
      </c>
      <c r="C14" s="10" t="s">
        <v>10</v>
      </c>
      <c r="D14" s="11" t="str">
        <f>'Meja Biru + Chiller'!I15</f>
        <v>380</v>
      </c>
      <c r="E14" s="12" t="str">
        <f>380</f>
        <v>380</v>
      </c>
      <c r="F14" s="9"/>
      <c r="G14" s="13"/>
    </row>
    <row r="15" ht="18.0" customHeight="1">
      <c r="A15" s="14">
        <v>10.0</v>
      </c>
      <c r="B15" s="15" t="s">
        <v>19</v>
      </c>
      <c r="C15" s="16" t="s">
        <v>10</v>
      </c>
      <c r="D15" s="11" t="str">
        <f>'Meja Biru + Chiller'!I16</f>
        <v>125</v>
      </c>
      <c r="E15" s="12">
        <v>125.0</v>
      </c>
      <c r="F15" s="15"/>
      <c r="G15" s="13"/>
    </row>
    <row r="16" ht="18.0" customHeight="1">
      <c r="A16" s="8">
        <v>11.0</v>
      </c>
      <c r="B16" s="9" t="s">
        <v>20</v>
      </c>
      <c r="C16" s="10" t="s">
        <v>10</v>
      </c>
      <c r="D16" s="11" t="str">
        <f>'Meja Biru + Chiller'!I17</f>
        <v>0</v>
      </c>
      <c r="E16" s="12">
        <v>0.0</v>
      </c>
      <c r="F16" s="9"/>
      <c r="G16" s="13"/>
    </row>
    <row r="17" ht="18.0" customHeight="1">
      <c r="A17" s="14">
        <v>12.0</v>
      </c>
      <c r="B17" s="15" t="s">
        <v>21</v>
      </c>
      <c r="C17" s="16" t="s">
        <v>10</v>
      </c>
      <c r="D17" s="11" t="str">
        <f>'Meja Biru + Chiller'!I18</f>
        <v>10</v>
      </c>
      <c r="E17" s="12">
        <v>10.0</v>
      </c>
      <c r="F17" s="15"/>
      <c r="G17" s="13"/>
    </row>
    <row r="18" ht="18.0" customHeight="1">
      <c r="A18" s="8">
        <v>13.0</v>
      </c>
      <c r="B18" s="9" t="s">
        <v>22</v>
      </c>
      <c r="C18" s="10" t="s">
        <v>10</v>
      </c>
      <c r="D18" s="11" t="str">
        <f>'Meja Biru + Chiller'!I19</f>
        <v>10</v>
      </c>
      <c r="E18" s="12">
        <v>10.0</v>
      </c>
      <c r="F18" s="9"/>
      <c r="G18" s="13"/>
    </row>
    <row r="19" ht="18.0" customHeight="1">
      <c r="A19" s="14">
        <v>14.0</v>
      </c>
      <c r="B19" s="15" t="s">
        <v>23</v>
      </c>
      <c r="C19" s="16" t="s">
        <v>10</v>
      </c>
      <c r="D19" s="11" t="str">
        <f>'Meja Biru + Chiller'!I20</f>
        <v>30</v>
      </c>
      <c r="E19" s="12" t="str">
        <f t="shared" ref="E19:E20" si="1">30</f>
        <v>30</v>
      </c>
      <c r="F19" s="15"/>
      <c r="G19" s="13"/>
    </row>
    <row r="20" ht="18.0" customHeight="1">
      <c r="A20" s="8">
        <v>15.0</v>
      </c>
      <c r="B20" s="9" t="s">
        <v>24</v>
      </c>
      <c r="C20" s="10" t="s">
        <v>10</v>
      </c>
      <c r="D20" s="11" t="str">
        <f>'Meja Biru + Chiller'!I21</f>
        <v>30</v>
      </c>
      <c r="E20" s="12" t="str">
        <f t="shared" si="1"/>
        <v>30</v>
      </c>
      <c r="F20" s="9"/>
      <c r="G20" s="13"/>
    </row>
    <row r="21" ht="18.0" customHeight="1">
      <c r="A21" s="14">
        <v>16.0</v>
      </c>
      <c r="B21" s="15" t="s">
        <v>25</v>
      </c>
      <c r="C21" s="16" t="s">
        <v>10</v>
      </c>
      <c r="D21" s="11" t="str">
        <f>'Meja Biru + Chiller'!I22</f>
        <v>100</v>
      </c>
      <c r="E21" s="12" t="str">
        <f>100</f>
        <v>100</v>
      </c>
      <c r="F21" s="15"/>
      <c r="G21" s="13"/>
    </row>
    <row r="22" ht="18.0" customHeight="1">
      <c r="A22" s="8">
        <v>17.0</v>
      </c>
      <c r="B22" s="9" t="s">
        <v>26</v>
      </c>
      <c r="C22" s="10" t="s">
        <v>10</v>
      </c>
      <c r="D22" s="11" t="str">
        <f>'Meja Biru + Chiller'!I23</f>
        <v>20</v>
      </c>
      <c r="E22" s="12" t="str">
        <f t="shared" ref="E22:E23" si="2">20</f>
        <v>20</v>
      </c>
      <c r="F22" s="9"/>
      <c r="G22" s="13"/>
    </row>
    <row r="23" ht="18.0" customHeight="1">
      <c r="A23" s="14">
        <v>18.0</v>
      </c>
      <c r="B23" s="15" t="s">
        <v>27</v>
      </c>
      <c r="C23" s="16" t="s">
        <v>10</v>
      </c>
      <c r="D23" s="11" t="str">
        <f>'Meja Biru + Chiller'!I24</f>
        <v>20</v>
      </c>
      <c r="E23" s="12" t="str">
        <f t="shared" si="2"/>
        <v>20</v>
      </c>
      <c r="F23" s="15"/>
      <c r="G23" s="13"/>
    </row>
    <row r="24" ht="18.0" customHeight="1">
      <c r="A24" s="8">
        <v>19.0</v>
      </c>
      <c r="B24" s="9" t="s">
        <v>28</v>
      </c>
      <c r="C24" s="10" t="s">
        <v>10</v>
      </c>
      <c r="D24" s="11" t="str">
        <f>'Meja Biru + Chiller'!I25</f>
        <v>45</v>
      </c>
      <c r="E24" s="12" t="str">
        <f>45</f>
        <v>45</v>
      </c>
      <c r="F24" s="9"/>
      <c r="G24" s="13"/>
    </row>
    <row r="25" ht="18.0" customHeight="1">
      <c r="A25" s="14">
        <v>20.0</v>
      </c>
      <c r="B25" s="15" t="s">
        <v>29</v>
      </c>
      <c r="C25" s="16" t="s">
        <v>10</v>
      </c>
      <c r="D25" s="11" t="str">
        <f>'Meja Biru + Chiller'!I26</f>
        <v>1</v>
      </c>
      <c r="E25" s="12">
        <v>1.0</v>
      </c>
      <c r="F25" s="15"/>
      <c r="G25" s="13"/>
    </row>
    <row r="26" ht="18.0" customHeight="1">
      <c r="A26" s="8">
        <v>21.0</v>
      </c>
      <c r="B26" s="9" t="s">
        <v>30</v>
      </c>
      <c r="C26" s="10" t="s">
        <v>10</v>
      </c>
      <c r="D26" s="11" t="str">
        <f>'Meja Biru + Chiller'!I27</f>
        <v>1</v>
      </c>
      <c r="E26" s="12">
        <v>1.0</v>
      </c>
      <c r="F26" s="9"/>
      <c r="G26" s="13"/>
    </row>
    <row r="27" ht="18.0" customHeight="1">
      <c r="A27" s="14">
        <v>22.0</v>
      </c>
      <c r="B27" s="15" t="s">
        <v>31</v>
      </c>
      <c r="C27" s="16" t="s">
        <v>10</v>
      </c>
      <c r="D27" s="11" t="str">
        <f>'Meja Biru + Chiller'!I28</f>
        <v>1</v>
      </c>
      <c r="E27" s="12">
        <v>1.0</v>
      </c>
      <c r="F27" s="15"/>
      <c r="G27" s="13"/>
    </row>
    <row r="28" ht="18.0" customHeight="1">
      <c r="A28" s="8">
        <v>23.0</v>
      </c>
      <c r="B28" s="9" t="s">
        <v>32</v>
      </c>
      <c r="C28" s="10" t="s">
        <v>10</v>
      </c>
      <c r="D28" s="11" t="str">
        <f>'Meja Biru + Chiller'!I29</f>
        <v>1</v>
      </c>
      <c r="E28" s="12">
        <v>1.0</v>
      </c>
      <c r="F28" s="9"/>
      <c r="G28" s="13"/>
    </row>
    <row r="29" ht="18.0" customHeight="1">
      <c r="A29" s="14">
        <v>24.0</v>
      </c>
      <c r="B29" s="15" t="s">
        <v>33</v>
      </c>
      <c r="C29" s="16" t="s">
        <v>10</v>
      </c>
      <c r="D29" s="11" t="str">
        <f>'Meja Biru + Chiller'!I30</f>
        <v>100</v>
      </c>
      <c r="E29" s="12" t="str">
        <f>100</f>
        <v>100</v>
      </c>
      <c r="F29" s="15"/>
      <c r="G29" s="13"/>
    </row>
    <row r="30" ht="18.0" customHeight="1">
      <c r="A30" s="8">
        <v>25.0</v>
      </c>
      <c r="B30" s="9" t="s">
        <v>34</v>
      </c>
      <c r="C30" s="10" t="s">
        <v>10</v>
      </c>
      <c r="D30" s="11" t="str">
        <f>'Meja Biru + Chiller'!I31</f>
        <v>0</v>
      </c>
      <c r="E30" s="12">
        <v>0.0</v>
      </c>
      <c r="F30" s="9"/>
      <c r="G30" s="13"/>
    </row>
    <row r="31" ht="18.0" customHeight="1">
      <c r="A31" s="14">
        <v>26.0</v>
      </c>
      <c r="B31" s="15" t="s">
        <v>35</v>
      </c>
      <c r="C31" s="16" t="s">
        <v>10</v>
      </c>
      <c r="D31" s="11" t="str">
        <f>'Meja Biru + Chiller'!I32</f>
        <v>3</v>
      </c>
      <c r="E31" s="12">
        <v>3.0</v>
      </c>
      <c r="F31" s="15"/>
      <c r="G31" s="13"/>
    </row>
    <row r="32" ht="18.0" customHeight="1">
      <c r="A32" s="8">
        <v>27.0</v>
      </c>
      <c r="B32" s="9" t="s">
        <v>36</v>
      </c>
      <c r="C32" s="10" t="s">
        <v>10</v>
      </c>
      <c r="D32" s="11" t="str">
        <f>'Meja Biru + Chiller'!I33</f>
        <v>0</v>
      </c>
      <c r="E32" s="12">
        <v>0.0</v>
      </c>
      <c r="F32" s="9"/>
      <c r="G32" s="13"/>
    </row>
    <row r="33" ht="18.0" customHeight="1">
      <c r="A33" s="14">
        <v>28.0</v>
      </c>
      <c r="B33" s="15" t="s">
        <v>37</v>
      </c>
      <c r="C33" s="16" t="s">
        <v>10</v>
      </c>
      <c r="D33" s="11" t="str">
        <f>'Meja Biru + Chiller'!I34</f>
        <v>0</v>
      </c>
      <c r="E33" s="12">
        <v>0.0</v>
      </c>
      <c r="F33" s="15"/>
      <c r="G33" s="13"/>
    </row>
    <row r="34" ht="18.0" customHeight="1">
      <c r="A34" s="8">
        <v>29.0</v>
      </c>
      <c r="B34" s="9" t="s">
        <v>38</v>
      </c>
      <c r="C34" s="10" t="s">
        <v>10</v>
      </c>
      <c r="D34" s="11" t="str">
        <f>'Meja Biru + Chiller'!I35</f>
        <v>0</v>
      </c>
      <c r="E34" s="12">
        <v>0.0</v>
      </c>
      <c r="F34" s="9"/>
      <c r="G34" s="13"/>
    </row>
    <row r="35" ht="18.0" customHeight="1">
      <c r="A35" s="14">
        <v>30.0</v>
      </c>
      <c r="B35" s="15" t="s">
        <v>39</v>
      </c>
      <c r="C35" s="16" t="s">
        <v>10</v>
      </c>
      <c r="D35" s="11" t="str">
        <f>'Meja Biru + Chiller'!I36</f>
        <v>100</v>
      </c>
      <c r="E35" s="12" t="str">
        <f>100</f>
        <v>100</v>
      </c>
      <c r="F35" s="15"/>
      <c r="G35" s="13"/>
    </row>
    <row r="36" ht="18.0" customHeight="1">
      <c r="A36" s="8">
        <v>31.0</v>
      </c>
      <c r="B36" s="9" t="s">
        <v>40</v>
      </c>
      <c r="C36" s="10" t="s">
        <v>10</v>
      </c>
      <c r="D36" s="11" t="str">
        <f>'Meja Biru + Chiller'!I37</f>
        <v>5</v>
      </c>
      <c r="E36" s="12">
        <v>5.0</v>
      </c>
      <c r="F36" s="9"/>
      <c r="G36" s="13"/>
    </row>
    <row r="37" ht="18.0" customHeight="1">
      <c r="A37" s="8">
        <v>32.0</v>
      </c>
      <c r="B37" s="9" t="s">
        <v>41</v>
      </c>
      <c r="C37" s="10" t="s">
        <v>10</v>
      </c>
      <c r="D37" s="11" t="str">
        <f>'Meja Biru + Chiller'!I38</f>
        <v>40</v>
      </c>
      <c r="E37" s="12">
        <v>40.0</v>
      </c>
      <c r="F37" s="9"/>
      <c r="G37" s="13"/>
    </row>
    <row r="38" ht="18.0" customHeight="1">
      <c r="A38" s="8">
        <v>33.0</v>
      </c>
      <c r="B38" s="9" t="s">
        <v>42</v>
      </c>
      <c r="C38" s="10" t="s">
        <v>10</v>
      </c>
      <c r="D38" s="11" t="str">
        <f>'Meja Biru + Chiller'!I39</f>
        <v>100</v>
      </c>
      <c r="E38" s="17">
        <v>100.0</v>
      </c>
      <c r="F38" s="9"/>
      <c r="G38" s="13"/>
    </row>
    <row r="39" ht="18.0" customHeight="1">
      <c r="A39" s="14" t="str">
        <f t="shared" ref="A39:A64" si="3">A38+1</f>
        <v>34</v>
      </c>
      <c r="B39" s="15" t="s">
        <v>43</v>
      </c>
      <c r="C39" s="16" t="s">
        <v>10</v>
      </c>
      <c r="D39" s="11" t="str">
        <f>'Meja Biru + Chiller'!I41</f>
        <v>250</v>
      </c>
      <c r="E39" s="12">
        <v>250.0</v>
      </c>
      <c r="F39" s="15"/>
      <c r="G39" s="13"/>
    </row>
    <row r="40" ht="18.0" customHeight="1">
      <c r="A40" s="14" t="str">
        <f t="shared" si="3"/>
        <v>35</v>
      </c>
      <c r="B40" s="9" t="s">
        <v>44</v>
      </c>
      <c r="C40" s="10" t="s">
        <v>10</v>
      </c>
      <c r="D40" s="11" t="str">
        <f>'Meja Biru + Chiller'!I42</f>
        <v>100</v>
      </c>
      <c r="E40" s="12">
        <v>100.0</v>
      </c>
      <c r="F40" s="9"/>
      <c r="G40" s="13"/>
    </row>
    <row r="41" ht="18.0" customHeight="1">
      <c r="A41" s="14" t="str">
        <f t="shared" si="3"/>
        <v>36</v>
      </c>
      <c r="B41" s="15" t="s">
        <v>45</v>
      </c>
      <c r="C41" s="16" t="s">
        <v>10</v>
      </c>
      <c r="D41" s="11" t="str">
        <f>'Meja Biru + Chiller'!I43</f>
        <v>200</v>
      </c>
      <c r="E41" s="12">
        <v>200.0</v>
      </c>
      <c r="F41" s="15"/>
      <c r="G41" s="13"/>
    </row>
    <row r="42" ht="18.0" customHeight="1">
      <c r="A42" s="14" t="str">
        <f t="shared" si="3"/>
        <v>37</v>
      </c>
      <c r="B42" s="9" t="s">
        <v>46</v>
      </c>
      <c r="C42" s="10" t="s">
        <v>10</v>
      </c>
      <c r="D42" s="11" t="str">
        <f>'Meja Biru + Chiller'!I44</f>
        <v>90</v>
      </c>
      <c r="E42" s="12" t="str">
        <f>90</f>
        <v>90</v>
      </c>
      <c r="F42" s="9"/>
      <c r="G42" s="13"/>
    </row>
    <row r="43" ht="18.0" customHeight="1">
      <c r="A43" s="14" t="str">
        <f t="shared" si="3"/>
        <v>38</v>
      </c>
      <c r="B43" s="15" t="s">
        <v>47</v>
      </c>
      <c r="C43" s="16" t="s">
        <v>10</v>
      </c>
      <c r="D43" s="11" t="str">
        <f>'Meja Biru + Chiller'!I45</f>
        <v>90</v>
      </c>
      <c r="E43" s="12">
        <v>90.0</v>
      </c>
      <c r="F43" s="15"/>
      <c r="G43" s="13"/>
    </row>
    <row r="44" ht="18.0" customHeight="1">
      <c r="A44" s="14" t="str">
        <f t="shared" si="3"/>
        <v>39</v>
      </c>
      <c r="B44" s="9" t="s">
        <v>48</v>
      </c>
      <c r="C44" s="10" t="s">
        <v>10</v>
      </c>
      <c r="D44" s="11" t="str">
        <f>'Meja Biru + Chiller'!I46</f>
        <v>40</v>
      </c>
      <c r="E44" s="12" t="str">
        <f>40</f>
        <v>40</v>
      </c>
      <c r="F44" s="9"/>
      <c r="G44" s="13"/>
    </row>
    <row r="45" ht="18.0" customHeight="1">
      <c r="A45" s="14" t="str">
        <f t="shared" si="3"/>
        <v>40</v>
      </c>
      <c r="B45" s="15" t="s">
        <v>49</v>
      </c>
      <c r="C45" s="16" t="s">
        <v>10</v>
      </c>
      <c r="D45" s="11" t="str">
        <f>'Meja Biru + Chiller'!I47</f>
        <v>90</v>
      </c>
      <c r="E45" s="12" t="str">
        <f t="shared" ref="E45:E46" si="4">90</f>
        <v>90</v>
      </c>
      <c r="F45" s="15"/>
      <c r="G45" s="13"/>
    </row>
    <row r="46" ht="18.0" customHeight="1">
      <c r="A46" s="14" t="str">
        <f t="shared" si="3"/>
        <v>41</v>
      </c>
      <c r="B46" s="9" t="s">
        <v>50</v>
      </c>
      <c r="C46" s="10" t="s">
        <v>10</v>
      </c>
      <c r="D46" s="11" t="str">
        <f>'Meja Biru + Chiller'!I48</f>
        <v>90</v>
      </c>
      <c r="E46" s="12" t="str">
        <f t="shared" si="4"/>
        <v>90</v>
      </c>
      <c r="F46" s="9"/>
      <c r="G46" s="13"/>
    </row>
    <row r="47" ht="18.0" customHeight="1">
      <c r="A47" s="14" t="str">
        <f t="shared" si="3"/>
        <v>42</v>
      </c>
      <c r="B47" s="15" t="s">
        <v>51</v>
      </c>
      <c r="C47" s="16" t="s">
        <v>10</v>
      </c>
      <c r="D47" s="11" t="str">
        <f>'Meja Biru + Chiller'!I49</f>
        <v>25</v>
      </c>
      <c r="E47" s="12">
        <v>25.0</v>
      </c>
      <c r="F47" s="15"/>
      <c r="G47" s="13"/>
    </row>
    <row r="48" ht="18.0" customHeight="1">
      <c r="A48" s="14" t="str">
        <f t="shared" si="3"/>
        <v>43</v>
      </c>
      <c r="B48" s="9" t="s">
        <v>52</v>
      </c>
      <c r="C48" s="10" t="s">
        <v>10</v>
      </c>
      <c r="D48" s="11" t="str">
        <f>'Meja Biru + Chiller'!I50</f>
        <v>25</v>
      </c>
      <c r="E48" s="12">
        <v>25.0</v>
      </c>
      <c r="F48" s="9"/>
      <c r="G48" s="13"/>
    </row>
    <row r="49" ht="18.0" customHeight="1">
      <c r="A49" s="14" t="str">
        <f t="shared" si="3"/>
        <v>44</v>
      </c>
      <c r="B49" s="15" t="s">
        <v>53</v>
      </c>
      <c r="C49" s="16" t="s">
        <v>10</v>
      </c>
      <c r="D49" s="11" t="str">
        <f>'Meja Biru + Chiller'!I51</f>
        <v>0</v>
      </c>
      <c r="E49" s="12">
        <v>0.0</v>
      </c>
      <c r="F49" s="15"/>
      <c r="G49" s="13"/>
    </row>
    <row r="50" ht="18.0" customHeight="1">
      <c r="A50" s="14" t="str">
        <f t="shared" si="3"/>
        <v>45</v>
      </c>
      <c r="B50" s="9" t="s">
        <v>54</v>
      </c>
      <c r="C50" s="10" t="s">
        <v>10</v>
      </c>
      <c r="D50" s="11" t="str">
        <f>'Meja Biru + Chiller'!I52</f>
        <v>1000</v>
      </c>
      <c r="E50" s="12" t="str">
        <f t="shared" ref="E50:E51" si="5">1000</f>
        <v>1000</v>
      </c>
      <c r="F50" s="9"/>
      <c r="G50" s="13"/>
    </row>
    <row r="51" ht="18.0" customHeight="1">
      <c r="A51" s="14" t="str">
        <f t="shared" si="3"/>
        <v>46</v>
      </c>
      <c r="B51" s="15" t="s">
        <v>55</v>
      </c>
      <c r="C51" s="16" t="s">
        <v>10</v>
      </c>
      <c r="D51" s="11" t="str">
        <f>'Meja Biru + Chiller'!I53</f>
        <v>1000</v>
      </c>
      <c r="E51" s="12" t="str">
        <f t="shared" si="5"/>
        <v>1000</v>
      </c>
      <c r="F51" s="15"/>
      <c r="G51" s="13"/>
    </row>
    <row r="52" ht="18.0" customHeight="1">
      <c r="A52" s="14" t="str">
        <f t="shared" si="3"/>
        <v>47</v>
      </c>
      <c r="B52" s="9" t="s">
        <v>56</v>
      </c>
      <c r="C52" s="10" t="s">
        <v>10</v>
      </c>
      <c r="D52" s="11" t="str">
        <f>'Meja Biru + Chiller'!I54</f>
        <v>270</v>
      </c>
      <c r="E52" s="12" t="str">
        <f>225+45</f>
        <v>270</v>
      </c>
      <c r="F52" s="9"/>
      <c r="G52" s="13"/>
    </row>
    <row r="53" ht="18.0" customHeight="1">
      <c r="A53" s="14" t="str">
        <f t="shared" si="3"/>
        <v>48</v>
      </c>
      <c r="B53" s="15" t="s">
        <v>57</v>
      </c>
      <c r="C53" s="16" t="s">
        <v>10</v>
      </c>
      <c r="D53" s="11" t="str">
        <f>'Meja Biru + Chiller'!I55</f>
        <v>250</v>
      </c>
      <c r="E53" s="12">
        <v>250.0</v>
      </c>
      <c r="F53" s="15"/>
      <c r="G53" s="13"/>
    </row>
    <row r="54" ht="18.0" customHeight="1">
      <c r="A54" s="14" t="str">
        <f t="shared" si="3"/>
        <v>49</v>
      </c>
      <c r="B54" s="9" t="s">
        <v>58</v>
      </c>
      <c r="C54" s="10" t="s">
        <v>10</v>
      </c>
      <c r="D54" s="11" t="str">
        <f>'Meja Biru + Chiller'!I56</f>
        <v>48</v>
      </c>
      <c r="E54" s="12">
        <v>48.0</v>
      </c>
      <c r="F54" s="9"/>
      <c r="G54" s="13"/>
    </row>
    <row r="55" ht="18.0" customHeight="1">
      <c r="A55" s="14" t="str">
        <f t="shared" si="3"/>
        <v>50</v>
      </c>
      <c r="B55" s="15" t="s">
        <v>59</v>
      </c>
      <c r="C55" s="16" t="s">
        <v>10</v>
      </c>
      <c r="D55" s="11" t="str">
        <f>'Meja Biru + Chiller'!I57</f>
        <v>4</v>
      </c>
      <c r="E55" s="12">
        <v>4.0</v>
      </c>
      <c r="F55" s="15"/>
      <c r="G55" s="13"/>
    </row>
    <row r="56" ht="18.0" customHeight="1">
      <c r="A56" s="14" t="str">
        <f t="shared" si="3"/>
        <v>51</v>
      </c>
      <c r="B56" s="9" t="s">
        <v>60</v>
      </c>
      <c r="C56" s="10" t="s">
        <v>10</v>
      </c>
      <c r="D56" s="11" t="str">
        <f>'Meja Biru + Chiller'!I58</f>
        <v>250</v>
      </c>
      <c r="E56" s="12">
        <v>250.0</v>
      </c>
      <c r="F56" s="9"/>
      <c r="G56" s="13"/>
    </row>
    <row r="57" ht="18.0" customHeight="1">
      <c r="A57" s="14" t="str">
        <f t="shared" si="3"/>
        <v>52</v>
      </c>
      <c r="B57" s="15" t="s">
        <v>61</v>
      </c>
      <c r="C57" s="16" t="s">
        <v>10</v>
      </c>
      <c r="D57" s="11" t="str">
        <f>'Meja Biru + Chiller'!I59</f>
        <v>70</v>
      </c>
      <c r="E57" s="12">
        <v>70.0</v>
      </c>
      <c r="F57" s="15"/>
      <c r="G57" s="13"/>
    </row>
    <row r="58" ht="18.0" customHeight="1">
      <c r="A58" s="14" t="str">
        <f t="shared" si="3"/>
        <v>53</v>
      </c>
      <c r="B58" s="9" t="s">
        <v>62</v>
      </c>
      <c r="C58" s="10" t="s">
        <v>10</v>
      </c>
      <c r="D58" s="11" t="str">
        <f>'Meja Biru + Chiller'!I60</f>
        <v>70</v>
      </c>
      <c r="E58" s="12">
        <v>70.0</v>
      </c>
      <c r="F58" s="9"/>
      <c r="G58" s="13"/>
    </row>
    <row r="59" ht="18.0" customHeight="1">
      <c r="A59" s="14" t="str">
        <f t="shared" si="3"/>
        <v>54</v>
      </c>
      <c r="B59" s="15" t="s">
        <v>63</v>
      </c>
      <c r="C59" s="16" t="s">
        <v>10</v>
      </c>
      <c r="D59" s="11" t="str">
        <f>'Meja Biru + Chiller'!I61</f>
        <v>290</v>
      </c>
      <c r="E59" s="12" t="str">
        <f>90+200</f>
        <v>290</v>
      </c>
      <c r="F59" s="15"/>
      <c r="G59" s="13"/>
    </row>
    <row r="60" ht="18.0" customHeight="1">
      <c r="A60" s="14" t="str">
        <f t="shared" si="3"/>
        <v>55</v>
      </c>
      <c r="B60" s="9" t="s">
        <v>64</v>
      </c>
      <c r="C60" s="10" t="s">
        <v>10</v>
      </c>
      <c r="D60" s="11" t="str">
        <f>'Meja Biru + Chiller'!I62</f>
        <v>8</v>
      </c>
      <c r="E60" s="12">
        <v>8.0</v>
      </c>
      <c r="F60" s="9"/>
      <c r="G60" s="13"/>
    </row>
    <row r="61" ht="18.0" customHeight="1">
      <c r="A61" s="14" t="str">
        <f t="shared" si="3"/>
        <v>56</v>
      </c>
      <c r="B61" s="15" t="s">
        <v>65</v>
      </c>
      <c r="C61" s="16" t="s">
        <v>10</v>
      </c>
      <c r="D61" s="11" t="str">
        <f>'Meja Biru + Chiller'!I63</f>
        <v>40</v>
      </c>
      <c r="E61" s="12">
        <v>40.0</v>
      </c>
      <c r="F61" s="15"/>
      <c r="G61" s="13"/>
    </row>
    <row r="62" ht="18.0" customHeight="1">
      <c r="A62" s="14" t="str">
        <f t="shared" si="3"/>
        <v>57</v>
      </c>
      <c r="B62" s="9" t="s">
        <v>66</v>
      </c>
      <c r="C62" s="10" t="s">
        <v>10</v>
      </c>
      <c r="D62" s="11" t="str">
        <f>'Meja Biru + Chiller'!I64</f>
        <v>100</v>
      </c>
      <c r="E62" s="12" t="str">
        <f>100</f>
        <v>100</v>
      </c>
      <c r="F62" s="9"/>
      <c r="G62" s="13"/>
    </row>
    <row r="63" ht="18.0" customHeight="1">
      <c r="A63" s="14" t="str">
        <f t="shared" si="3"/>
        <v>58</v>
      </c>
      <c r="B63" s="15" t="s">
        <v>67</v>
      </c>
      <c r="C63" s="16" t="s">
        <v>10</v>
      </c>
      <c r="D63" s="11" t="str">
        <f>'Meja Biru + Chiller'!I65</f>
        <v>75</v>
      </c>
      <c r="E63" s="12" t="str">
        <f>75</f>
        <v>75</v>
      </c>
      <c r="F63" s="15"/>
      <c r="G63" s="13"/>
    </row>
    <row r="64" ht="18.0" customHeight="1">
      <c r="A64" s="14" t="str">
        <f t="shared" si="3"/>
        <v>59</v>
      </c>
      <c r="B64" s="9" t="s">
        <v>68</v>
      </c>
      <c r="C64" s="10" t="s">
        <v>10</v>
      </c>
      <c r="D64" s="11" t="str">
        <f>'Meja Biru + Chiller'!I66</f>
        <v>100</v>
      </c>
      <c r="E64" s="12" t="str">
        <f>100</f>
        <v>100</v>
      </c>
      <c r="F64" s="9"/>
      <c r="G64" s="13"/>
    </row>
    <row r="65" ht="19.5" customHeight="1">
      <c r="A65" s="7" t="s">
        <v>69</v>
      </c>
      <c r="B65" s="2"/>
      <c r="C65" s="2"/>
      <c r="D65" s="2"/>
      <c r="E65" s="2"/>
      <c r="F65" s="2"/>
      <c r="G65" s="2"/>
    </row>
    <row r="66" ht="18.0" customHeight="1">
      <c r="A66" s="14" t="str">
        <f>A64+1</f>
        <v>60</v>
      </c>
      <c r="B66" s="15" t="s">
        <v>70</v>
      </c>
      <c r="C66" s="16" t="s">
        <v>71</v>
      </c>
      <c r="D66" s="11" t="str">
        <f>'Freezer &amp; Alat'!I7</f>
        <v>2</v>
      </c>
      <c r="E66" s="12">
        <v>2.0</v>
      </c>
      <c r="F66" s="15"/>
      <c r="G66" s="13"/>
    </row>
    <row r="67" ht="18.0" customHeight="1">
      <c r="A67" s="14" t="str">
        <f t="shared" ref="A67:A95" si="6">A66+1</f>
        <v>61</v>
      </c>
      <c r="B67" s="9" t="s">
        <v>72</v>
      </c>
      <c r="C67" s="10" t="s">
        <v>71</v>
      </c>
      <c r="D67" s="11" t="str">
        <f>'Freezer &amp; Alat'!I8</f>
        <v>1</v>
      </c>
      <c r="E67" s="12">
        <v>1.0</v>
      </c>
      <c r="F67" s="9"/>
      <c r="G67" s="13"/>
    </row>
    <row r="68" ht="18.0" customHeight="1">
      <c r="A68" s="14" t="str">
        <f t="shared" si="6"/>
        <v>62</v>
      </c>
      <c r="B68" s="15" t="s">
        <v>73</v>
      </c>
      <c r="C68" s="16" t="s">
        <v>71</v>
      </c>
      <c r="D68" s="11" t="str">
        <f>'Freezer &amp; Alat'!I9</f>
        <v>2</v>
      </c>
      <c r="E68" s="12">
        <v>2.0</v>
      </c>
      <c r="F68" s="15"/>
      <c r="G68" s="13"/>
    </row>
    <row r="69" ht="18.0" customHeight="1">
      <c r="A69" s="14" t="str">
        <f t="shared" si="6"/>
        <v>63</v>
      </c>
      <c r="B69" s="9" t="s">
        <v>74</v>
      </c>
      <c r="C69" s="10" t="s">
        <v>71</v>
      </c>
      <c r="D69" s="11" t="str">
        <f>'Freezer &amp; Alat'!I10</f>
        <v>1</v>
      </c>
      <c r="E69" s="12">
        <v>1.0</v>
      </c>
      <c r="F69" s="9"/>
      <c r="G69" s="13"/>
    </row>
    <row r="70" ht="18.0" customHeight="1">
      <c r="A70" s="14" t="str">
        <f t="shared" si="6"/>
        <v>64</v>
      </c>
      <c r="B70" s="15" t="s">
        <v>75</v>
      </c>
      <c r="C70" s="16" t="s">
        <v>71</v>
      </c>
      <c r="D70" s="11" t="str">
        <f>'Freezer &amp; Alat'!I11</f>
        <v>5</v>
      </c>
      <c r="E70" s="12">
        <v>5.0</v>
      </c>
      <c r="F70" s="15"/>
      <c r="G70" s="13"/>
    </row>
    <row r="71" ht="18.0" customHeight="1">
      <c r="A71" s="14" t="str">
        <f t="shared" si="6"/>
        <v>65</v>
      </c>
      <c r="B71" s="9" t="s">
        <v>76</v>
      </c>
      <c r="C71" s="10" t="s">
        <v>71</v>
      </c>
      <c r="D71" s="11" t="str">
        <f>'Freezer &amp; Alat'!I12</f>
        <v>2</v>
      </c>
      <c r="E71" s="12">
        <v>2.0</v>
      </c>
      <c r="F71" s="9"/>
      <c r="G71" s="13"/>
    </row>
    <row r="72" ht="18.0" customHeight="1">
      <c r="A72" s="14" t="str">
        <f t="shared" si="6"/>
        <v>66</v>
      </c>
      <c r="B72" s="15" t="s">
        <v>77</v>
      </c>
      <c r="C72" s="16" t="s">
        <v>71</v>
      </c>
      <c r="D72" s="11" t="str">
        <f>'Freezer &amp; Alat'!I13</f>
        <v>2</v>
      </c>
      <c r="E72" s="12">
        <v>2.0</v>
      </c>
      <c r="F72" s="15"/>
      <c r="G72" s="13"/>
    </row>
    <row r="73" ht="18.0" customHeight="1">
      <c r="A73" s="14" t="str">
        <f t="shared" si="6"/>
        <v>67</v>
      </c>
      <c r="B73" s="9" t="s">
        <v>78</v>
      </c>
      <c r="C73" s="10" t="s">
        <v>71</v>
      </c>
      <c r="D73" s="11" t="str">
        <f>'Freezer &amp; Alat'!I14</f>
        <v>0.5</v>
      </c>
      <c r="E73" s="12" t="str">
        <f>1/2</f>
        <v>0.5</v>
      </c>
      <c r="F73" s="9"/>
      <c r="G73" s="13"/>
    </row>
    <row r="74" ht="18.0" customHeight="1">
      <c r="A74" s="14" t="str">
        <f t="shared" si="6"/>
        <v>68</v>
      </c>
      <c r="B74" s="15" t="s">
        <v>79</v>
      </c>
      <c r="C74" s="16" t="s">
        <v>71</v>
      </c>
      <c r="D74" s="11" t="str">
        <f>'Freezer &amp; Alat'!I15</f>
        <v>3</v>
      </c>
      <c r="E74" s="12">
        <v>3.0</v>
      </c>
      <c r="F74" s="15"/>
      <c r="G74" s="13"/>
    </row>
    <row r="75" ht="18.0" customHeight="1">
      <c r="A75" s="14" t="str">
        <f t="shared" si="6"/>
        <v>69</v>
      </c>
      <c r="B75" s="9" t="s">
        <v>80</v>
      </c>
      <c r="C75" s="10" t="s">
        <v>71</v>
      </c>
      <c r="D75" s="11" t="str">
        <f>'Freezer &amp; Alat'!I16</f>
        <v>3</v>
      </c>
      <c r="E75" s="12">
        <v>3.0</v>
      </c>
      <c r="F75" s="9"/>
      <c r="G75" s="13"/>
    </row>
    <row r="76" ht="18.0" customHeight="1">
      <c r="A76" s="14" t="str">
        <f t="shared" si="6"/>
        <v>70</v>
      </c>
      <c r="B76" s="15" t="s">
        <v>81</v>
      </c>
      <c r="C76" s="16" t="s">
        <v>71</v>
      </c>
      <c r="D76" s="11" t="str">
        <f>'Freezer &amp; Alat'!I17</f>
        <v>3</v>
      </c>
      <c r="E76" s="12">
        <v>3.0</v>
      </c>
      <c r="F76" s="15"/>
      <c r="G76" s="13"/>
    </row>
    <row r="77" ht="18.0" customHeight="1">
      <c r="A77" s="14" t="str">
        <f t="shared" si="6"/>
        <v>71</v>
      </c>
      <c r="B77" s="9" t="s">
        <v>82</v>
      </c>
      <c r="C77" s="10" t="s">
        <v>71</v>
      </c>
      <c r="D77" s="11" t="str">
        <f>'Freezer &amp; Alat'!I18</f>
        <v>5</v>
      </c>
      <c r="E77" s="12">
        <v>5.0</v>
      </c>
      <c r="F77" s="9"/>
      <c r="G77" s="13"/>
    </row>
    <row r="78" ht="18.0" customHeight="1">
      <c r="A78" s="14" t="str">
        <f t="shared" si="6"/>
        <v>72</v>
      </c>
      <c r="B78" s="15" t="s">
        <v>83</v>
      </c>
      <c r="C78" s="16" t="s">
        <v>71</v>
      </c>
      <c r="D78" s="11" t="str">
        <f>'Freezer &amp; Alat'!I19</f>
        <v>5</v>
      </c>
      <c r="E78" s="12">
        <v>5.0</v>
      </c>
      <c r="F78" s="15"/>
      <c r="G78" s="13"/>
    </row>
    <row r="79" ht="18.0" customHeight="1">
      <c r="A79" s="14" t="str">
        <f t="shared" si="6"/>
        <v>73</v>
      </c>
      <c r="B79" s="9" t="s">
        <v>84</v>
      </c>
      <c r="C79" s="10" t="s">
        <v>71</v>
      </c>
      <c r="D79" s="11" t="str">
        <f>'Freezer &amp; Alat'!I20</f>
        <v>5</v>
      </c>
      <c r="E79" s="12">
        <v>5.0</v>
      </c>
      <c r="F79" s="9"/>
      <c r="G79" s="13"/>
    </row>
    <row r="80" ht="18.0" customHeight="1">
      <c r="A80" s="14" t="str">
        <f t="shared" si="6"/>
        <v>74</v>
      </c>
      <c r="B80" s="15" t="s">
        <v>85</v>
      </c>
      <c r="C80" s="16" t="s">
        <v>71</v>
      </c>
      <c r="D80" s="11" t="str">
        <f>'Freezer &amp; Alat'!I21</f>
        <v>5</v>
      </c>
      <c r="E80" s="12">
        <v>5.0</v>
      </c>
      <c r="F80" s="15"/>
      <c r="G80" s="13"/>
    </row>
    <row r="81" ht="18.0" customHeight="1">
      <c r="A81" s="14" t="str">
        <f t="shared" si="6"/>
        <v>75</v>
      </c>
      <c r="B81" s="9" t="s">
        <v>86</v>
      </c>
      <c r="C81" s="10" t="s">
        <v>71</v>
      </c>
      <c r="D81" s="11" t="str">
        <f>'Freezer &amp; Alat'!I22</f>
        <v>1</v>
      </c>
      <c r="E81" s="12">
        <v>1.0</v>
      </c>
      <c r="F81" s="9"/>
      <c r="G81" s="13"/>
    </row>
    <row r="82" ht="18.0" customHeight="1">
      <c r="A82" s="14" t="str">
        <f t="shared" si="6"/>
        <v>76</v>
      </c>
      <c r="B82" s="15" t="s">
        <v>87</v>
      </c>
      <c r="C82" s="16" t="s">
        <v>71</v>
      </c>
      <c r="D82" s="11" t="str">
        <f>'Freezer &amp; Alat'!I23</f>
        <v>5</v>
      </c>
      <c r="E82" s="12">
        <v>5.0</v>
      </c>
      <c r="F82" s="15"/>
      <c r="G82" s="13"/>
    </row>
    <row r="83" ht="18.0" customHeight="1">
      <c r="A83" s="14" t="str">
        <f t="shared" si="6"/>
        <v>77</v>
      </c>
      <c r="B83" s="9" t="s">
        <v>88</v>
      </c>
      <c r="C83" s="10" t="s">
        <v>71</v>
      </c>
      <c r="D83" s="11" t="str">
        <f>'Freezer &amp; Alat'!I25</f>
        <v>1</v>
      </c>
      <c r="E83" s="12">
        <v>1.0</v>
      </c>
      <c r="F83" s="9"/>
      <c r="G83" s="13"/>
    </row>
    <row r="84" ht="18.0" customHeight="1">
      <c r="A84" s="14" t="str">
        <f t="shared" si="6"/>
        <v>78</v>
      </c>
      <c r="B84" s="15" t="s">
        <v>89</v>
      </c>
      <c r="C84" s="16" t="s">
        <v>71</v>
      </c>
      <c r="D84" s="11" t="str">
        <f>'Freezer &amp; Alat'!I26</f>
        <v>1</v>
      </c>
      <c r="E84" s="12">
        <v>1.0</v>
      </c>
      <c r="F84" s="15"/>
      <c r="G84" s="13"/>
    </row>
    <row r="85" ht="18.0" customHeight="1">
      <c r="A85" s="14" t="str">
        <f t="shared" si="6"/>
        <v>79</v>
      </c>
      <c r="B85" s="9" t="s">
        <v>90</v>
      </c>
      <c r="C85" s="10" t="s">
        <v>71</v>
      </c>
      <c r="D85" s="11" t="str">
        <f>'Freezer &amp; Alat'!I27</f>
        <v>1</v>
      </c>
      <c r="E85" s="12">
        <v>1.0</v>
      </c>
      <c r="F85" s="9"/>
      <c r="G85" s="13"/>
    </row>
    <row r="86" ht="18.0" customHeight="1">
      <c r="A86" s="14" t="str">
        <f t="shared" si="6"/>
        <v>80</v>
      </c>
      <c r="B86" s="15" t="s">
        <v>91</v>
      </c>
      <c r="C86" s="16" t="s">
        <v>71</v>
      </c>
      <c r="D86" s="11" t="str">
        <f>'Freezer &amp; Alat'!I28</f>
        <v>1</v>
      </c>
      <c r="E86" s="12">
        <v>1.0</v>
      </c>
      <c r="F86" s="15"/>
      <c r="G86" s="13"/>
    </row>
    <row r="87" ht="18.0" customHeight="1">
      <c r="A87" s="14" t="str">
        <f t="shared" si="6"/>
        <v>81</v>
      </c>
      <c r="B87" s="9" t="s">
        <v>92</v>
      </c>
      <c r="C87" s="10" t="s">
        <v>71</v>
      </c>
      <c r="D87" s="11" t="str">
        <f>'Freezer &amp; Alat'!I29</f>
        <v>5</v>
      </c>
      <c r="E87" s="12">
        <v>5.0</v>
      </c>
      <c r="F87" s="9"/>
      <c r="G87" s="13"/>
    </row>
    <row r="88" ht="18.0" customHeight="1">
      <c r="A88" s="14" t="str">
        <f t="shared" si="6"/>
        <v>82</v>
      </c>
      <c r="B88" s="15" t="s">
        <v>93</v>
      </c>
      <c r="C88" s="16" t="s">
        <v>71</v>
      </c>
      <c r="D88" s="11" t="str">
        <f>'Freezer &amp; Alat'!I30</f>
        <v>3</v>
      </c>
      <c r="E88" s="12">
        <v>3.0</v>
      </c>
      <c r="F88" s="15"/>
      <c r="G88" s="13"/>
    </row>
    <row r="89" ht="18.0" customHeight="1">
      <c r="A89" s="14" t="str">
        <f t="shared" si="6"/>
        <v>83</v>
      </c>
      <c r="B89" s="9" t="s">
        <v>94</v>
      </c>
      <c r="C89" s="10" t="s">
        <v>71</v>
      </c>
      <c r="D89" s="11" t="str">
        <f>'Freezer &amp; Alat'!I31</f>
        <v>3</v>
      </c>
      <c r="E89" s="12">
        <v>3.0</v>
      </c>
      <c r="F89" s="9"/>
      <c r="G89" s="13"/>
    </row>
    <row r="90" ht="18.0" customHeight="1">
      <c r="A90" s="14" t="str">
        <f t="shared" si="6"/>
        <v>84</v>
      </c>
      <c r="B90" s="15" t="s">
        <v>95</v>
      </c>
      <c r="C90" s="16" t="s">
        <v>71</v>
      </c>
      <c r="D90" s="11" t="str">
        <f>'Freezer &amp; Alat'!I32</f>
        <v>3</v>
      </c>
      <c r="E90" s="12">
        <v>3.0</v>
      </c>
      <c r="F90" s="15"/>
      <c r="G90" s="13"/>
    </row>
    <row r="91" ht="18.0" customHeight="1">
      <c r="A91" s="14" t="str">
        <f t="shared" si="6"/>
        <v>85</v>
      </c>
      <c r="B91" s="9" t="s">
        <v>96</v>
      </c>
      <c r="C91" s="10" t="s">
        <v>71</v>
      </c>
      <c r="D91" s="11" t="str">
        <f>'Freezer &amp; Alat'!I33</f>
        <v>2</v>
      </c>
      <c r="E91" s="12">
        <v>2.0</v>
      </c>
      <c r="F91" s="9"/>
      <c r="G91" s="13"/>
    </row>
    <row r="92" ht="18.0" customHeight="1">
      <c r="A92" s="14" t="str">
        <f t="shared" si="6"/>
        <v>86</v>
      </c>
      <c r="B92" s="15" t="s">
        <v>97</v>
      </c>
      <c r="C92" s="16" t="s">
        <v>71</v>
      </c>
      <c r="D92" s="11" t="str">
        <f>'Freezer &amp; Alat'!I34</f>
        <v>2</v>
      </c>
      <c r="E92" s="12">
        <v>2.0</v>
      </c>
      <c r="F92" s="15"/>
      <c r="G92" s="13"/>
    </row>
    <row r="93" ht="18.0" customHeight="1">
      <c r="A93" s="14" t="str">
        <f t="shared" si="6"/>
        <v>87</v>
      </c>
      <c r="B93" s="9" t="s">
        <v>98</v>
      </c>
      <c r="C93" s="10" t="s">
        <v>71</v>
      </c>
      <c r="D93" s="11" t="str">
        <f>'Freezer &amp; Alat'!I35</f>
        <v>2</v>
      </c>
      <c r="E93" s="12">
        <v>2.0</v>
      </c>
      <c r="F93" s="9"/>
      <c r="G93" s="13"/>
    </row>
    <row r="94" ht="18.0" customHeight="1">
      <c r="A94" s="14" t="str">
        <f t="shared" si="6"/>
        <v>88</v>
      </c>
      <c r="B94" s="15" t="s">
        <v>99</v>
      </c>
      <c r="C94" s="16" t="s">
        <v>71</v>
      </c>
      <c r="D94" s="11" t="str">
        <f>'Freezer &amp; Alat'!I36</f>
        <v>2</v>
      </c>
      <c r="E94" s="12">
        <v>2.0</v>
      </c>
      <c r="F94" s="15"/>
      <c r="G94" s="13"/>
    </row>
    <row r="95" ht="18.0" customHeight="1">
      <c r="A95" s="14" t="str">
        <f t="shared" si="6"/>
        <v>89</v>
      </c>
      <c r="B95" s="9" t="s">
        <v>100</v>
      </c>
      <c r="C95" s="10" t="s">
        <v>71</v>
      </c>
      <c r="D95" s="11" t="str">
        <f>'Freezer &amp; Alat'!I37</f>
        <v>5</v>
      </c>
      <c r="E95" s="12">
        <v>5.0</v>
      </c>
      <c r="F95" s="9"/>
      <c r="G95" s="13"/>
    </row>
    <row r="96" ht="19.5" customHeight="1">
      <c r="A96" s="7" t="s">
        <v>101</v>
      </c>
      <c r="B96" s="2"/>
      <c r="C96" s="2"/>
      <c r="D96" s="2"/>
      <c r="E96" s="2"/>
      <c r="F96" s="2"/>
      <c r="G96" s="2"/>
    </row>
    <row r="97" ht="18.0" customHeight="1">
      <c r="A97" s="14" t="str">
        <f>A95+1</f>
        <v>90</v>
      </c>
      <c r="B97" s="15" t="s">
        <v>102</v>
      </c>
      <c r="C97" s="16" t="s">
        <v>103</v>
      </c>
      <c r="D97" s="11" t="s">
        <v>104</v>
      </c>
      <c r="E97" s="12">
        <v>10.0</v>
      </c>
      <c r="F97" s="15"/>
      <c r="G97" s="13"/>
    </row>
    <row r="98" ht="18.0" customHeight="1">
      <c r="A98" s="8" t="str">
        <f t="shared" ref="A98:A140" si="7">A97+1</f>
        <v>91</v>
      </c>
      <c r="B98" s="9" t="s">
        <v>105</v>
      </c>
      <c r="C98" s="10" t="s">
        <v>103</v>
      </c>
      <c r="D98" s="11" t="s">
        <v>104</v>
      </c>
      <c r="E98" s="12">
        <v>1.0</v>
      </c>
      <c r="F98" s="9"/>
      <c r="G98" s="13"/>
    </row>
    <row r="99" ht="18.0" customHeight="1">
      <c r="A99" s="8" t="str">
        <f t="shared" si="7"/>
        <v>92</v>
      </c>
      <c r="B99" s="15" t="s">
        <v>106</v>
      </c>
      <c r="C99" s="16" t="s">
        <v>103</v>
      </c>
      <c r="D99" s="11" t="s">
        <v>104</v>
      </c>
      <c r="E99" s="12">
        <v>1.0</v>
      </c>
      <c r="F99" s="15"/>
      <c r="G99" s="13"/>
    </row>
    <row r="100" ht="18.0" customHeight="1">
      <c r="A100" s="8" t="str">
        <f t="shared" si="7"/>
        <v>93</v>
      </c>
      <c r="B100" s="9" t="s">
        <v>107</v>
      </c>
      <c r="C100" s="10" t="s">
        <v>103</v>
      </c>
      <c r="D100" s="11" t="s">
        <v>104</v>
      </c>
      <c r="E100" s="12">
        <v>1.0</v>
      </c>
      <c r="F100" s="9"/>
      <c r="G100" s="13"/>
    </row>
    <row r="101" ht="18.0" customHeight="1">
      <c r="A101" s="8" t="str">
        <f t="shared" si="7"/>
        <v>94</v>
      </c>
      <c r="B101" s="15" t="s">
        <v>108</v>
      </c>
      <c r="C101" s="16" t="s">
        <v>103</v>
      </c>
      <c r="D101" s="11" t="s">
        <v>104</v>
      </c>
      <c r="E101" s="12">
        <v>5.0</v>
      </c>
      <c r="F101" s="15"/>
      <c r="G101" s="13"/>
    </row>
    <row r="102" ht="18.0" customHeight="1">
      <c r="A102" s="8" t="str">
        <f t="shared" si="7"/>
        <v>95</v>
      </c>
      <c r="B102" s="15" t="s">
        <v>109</v>
      </c>
      <c r="C102" s="16" t="s">
        <v>103</v>
      </c>
      <c r="D102" s="11" t="s">
        <v>104</v>
      </c>
      <c r="E102" s="12">
        <v>50.0</v>
      </c>
      <c r="F102" s="15"/>
      <c r="G102" s="13"/>
    </row>
    <row r="103" ht="18.0" customHeight="1">
      <c r="A103" s="8" t="str">
        <f t="shared" si="7"/>
        <v>96</v>
      </c>
      <c r="B103" s="9" t="s">
        <v>110</v>
      </c>
      <c r="C103" s="10" t="s">
        <v>103</v>
      </c>
      <c r="D103" s="11" t="s">
        <v>104</v>
      </c>
      <c r="E103" s="12">
        <v>10.0</v>
      </c>
      <c r="F103" s="9"/>
      <c r="G103" s="13"/>
    </row>
    <row r="104" ht="18.0" customHeight="1">
      <c r="A104" s="8" t="str">
        <f t="shared" si="7"/>
        <v>97</v>
      </c>
      <c r="B104" s="15" t="s">
        <v>111</v>
      </c>
      <c r="C104" s="16" t="s">
        <v>103</v>
      </c>
      <c r="D104" s="11" t="s">
        <v>104</v>
      </c>
      <c r="E104" s="12">
        <v>1.0</v>
      </c>
      <c r="F104" s="15"/>
      <c r="G104" s="13"/>
    </row>
    <row r="105" ht="18.0" customHeight="1">
      <c r="A105" s="8" t="str">
        <f t="shared" si="7"/>
        <v>98</v>
      </c>
      <c r="B105" s="9" t="s">
        <v>112</v>
      </c>
      <c r="C105" s="10" t="s">
        <v>103</v>
      </c>
      <c r="D105" s="11" t="s">
        <v>104</v>
      </c>
      <c r="E105" s="12">
        <v>50.0</v>
      </c>
      <c r="F105" s="9"/>
      <c r="G105" s="13"/>
    </row>
    <row r="106" ht="18.0" customHeight="1">
      <c r="A106" s="8" t="str">
        <f t="shared" si="7"/>
        <v>99</v>
      </c>
      <c r="B106" s="15" t="s">
        <v>113</v>
      </c>
      <c r="C106" s="16" t="s">
        <v>103</v>
      </c>
      <c r="D106" s="11" t="s">
        <v>104</v>
      </c>
      <c r="E106" s="12">
        <v>20.0</v>
      </c>
      <c r="F106" s="15"/>
      <c r="G106" s="13"/>
    </row>
    <row r="107" ht="18.0" customHeight="1">
      <c r="A107" s="8" t="str">
        <f t="shared" si="7"/>
        <v>100</v>
      </c>
      <c r="B107" s="9" t="s">
        <v>92</v>
      </c>
      <c r="C107" s="10" t="s">
        <v>103</v>
      </c>
      <c r="D107" s="11" t="s">
        <v>104</v>
      </c>
      <c r="E107" s="12">
        <v>50.0</v>
      </c>
      <c r="F107" s="9"/>
      <c r="G107" s="13"/>
    </row>
    <row r="108" ht="18.0" customHeight="1">
      <c r="A108" s="8" t="str">
        <f t="shared" si="7"/>
        <v>101</v>
      </c>
      <c r="B108" s="15" t="s">
        <v>114</v>
      </c>
      <c r="C108" s="16" t="s">
        <v>103</v>
      </c>
      <c r="D108" s="11" t="s">
        <v>104</v>
      </c>
      <c r="E108" s="12">
        <v>2.0</v>
      </c>
      <c r="F108" s="15"/>
      <c r="G108" s="13"/>
    </row>
    <row r="109" ht="18.0" customHeight="1">
      <c r="A109" s="8" t="str">
        <f t="shared" si="7"/>
        <v>102</v>
      </c>
      <c r="B109" s="9" t="s">
        <v>115</v>
      </c>
      <c r="C109" s="10" t="s">
        <v>103</v>
      </c>
      <c r="D109" s="11" t="s">
        <v>104</v>
      </c>
      <c r="E109" s="12">
        <v>1.0</v>
      </c>
      <c r="F109" s="9"/>
      <c r="G109" s="13"/>
    </row>
    <row r="110" ht="18.0" customHeight="1">
      <c r="A110" s="8" t="str">
        <f t="shared" si="7"/>
        <v>103</v>
      </c>
      <c r="B110" s="15" t="s">
        <v>116</v>
      </c>
      <c r="C110" s="16" t="s">
        <v>103</v>
      </c>
      <c r="D110" s="11" t="s">
        <v>104</v>
      </c>
      <c r="E110" s="12">
        <v>1.0</v>
      </c>
      <c r="F110" s="15"/>
      <c r="G110" s="13"/>
    </row>
    <row r="111" ht="18.0" customHeight="1">
      <c r="A111" s="8" t="str">
        <f t="shared" si="7"/>
        <v>104</v>
      </c>
      <c r="B111" s="9" t="s">
        <v>117</v>
      </c>
      <c r="C111" s="10" t="s">
        <v>103</v>
      </c>
      <c r="D111" s="11" t="s">
        <v>104</v>
      </c>
      <c r="E111" s="12">
        <v>1.0</v>
      </c>
      <c r="F111" s="9"/>
      <c r="G111" s="13"/>
    </row>
    <row r="112" ht="18.0" customHeight="1">
      <c r="A112" s="8" t="str">
        <f t="shared" si="7"/>
        <v>105</v>
      </c>
      <c r="B112" s="15" t="s">
        <v>118</v>
      </c>
      <c r="C112" s="16" t="s">
        <v>103</v>
      </c>
      <c r="D112" s="11" t="s">
        <v>104</v>
      </c>
      <c r="E112" s="12">
        <v>20.0</v>
      </c>
      <c r="F112" s="15"/>
      <c r="G112" s="13"/>
    </row>
    <row r="113" ht="18.0" customHeight="1">
      <c r="A113" s="8" t="str">
        <f t="shared" si="7"/>
        <v>106</v>
      </c>
      <c r="B113" s="9" t="s">
        <v>119</v>
      </c>
      <c r="C113" s="10" t="s">
        <v>103</v>
      </c>
      <c r="D113" s="11" t="s">
        <v>104</v>
      </c>
      <c r="E113" s="12">
        <v>20.0</v>
      </c>
      <c r="F113" s="9"/>
      <c r="G113" s="13"/>
    </row>
    <row r="114" ht="18.0" customHeight="1">
      <c r="A114" s="8" t="str">
        <f t="shared" si="7"/>
        <v>107</v>
      </c>
      <c r="B114" s="15" t="s">
        <v>120</v>
      </c>
      <c r="C114" s="16" t="s">
        <v>103</v>
      </c>
      <c r="D114" s="11" t="s">
        <v>104</v>
      </c>
      <c r="E114" s="12">
        <v>1.0</v>
      </c>
      <c r="F114" s="15"/>
      <c r="G114" s="13"/>
    </row>
    <row r="115" ht="18.0" customHeight="1">
      <c r="A115" s="8" t="str">
        <f t="shared" si="7"/>
        <v>108</v>
      </c>
      <c r="B115" s="9" t="s">
        <v>121</v>
      </c>
      <c r="C115" s="10" t="s">
        <v>103</v>
      </c>
      <c r="D115" s="11" t="s">
        <v>104</v>
      </c>
      <c r="E115" s="12">
        <v>25.0</v>
      </c>
      <c r="F115" s="9"/>
      <c r="G115" s="13"/>
    </row>
    <row r="116" ht="18.0" customHeight="1">
      <c r="A116" s="8" t="str">
        <f t="shared" si="7"/>
        <v>109</v>
      </c>
      <c r="B116" s="15" t="s">
        <v>122</v>
      </c>
      <c r="C116" s="16" t="s">
        <v>103</v>
      </c>
      <c r="D116" s="11" t="s">
        <v>104</v>
      </c>
      <c r="E116" s="12">
        <v>10.0</v>
      </c>
      <c r="F116" s="15"/>
      <c r="G116" s="13"/>
    </row>
    <row r="117" ht="18.0" customHeight="1">
      <c r="A117" s="8" t="str">
        <f t="shared" si="7"/>
        <v>110</v>
      </c>
      <c r="B117" s="9" t="s">
        <v>123</v>
      </c>
      <c r="C117" s="10" t="s">
        <v>103</v>
      </c>
      <c r="D117" s="11" t="s">
        <v>104</v>
      </c>
      <c r="E117" s="12">
        <v>1.0</v>
      </c>
      <c r="F117" s="9"/>
      <c r="G117" s="13"/>
    </row>
    <row r="118" ht="18.0" customHeight="1">
      <c r="A118" s="8" t="str">
        <f t="shared" si="7"/>
        <v>111</v>
      </c>
      <c r="B118" s="15" t="s">
        <v>124</v>
      </c>
      <c r="C118" s="16" t="s">
        <v>103</v>
      </c>
      <c r="D118" s="11" t="s">
        <v>104</v>
      </c>
      <c r="E118" s="12">
        <v>1.0</v>
      </c>
      <c r="F118" s="15"/>
      <c r="G118" s="13"/>
    </row>
    <row r="119" ht="18.0" customHeight="1">
      <c r="A119" s="8" t="str">
        <f t="shared" si="7"/>
        <v>112</v>
      </c>
      <c r="B119" s="9" t="s">
        <v>125</v>
      </c>
      <c r="C119" s="10" t="s">
        <v>103</v>
      </c>
      <c r="D119" s="11" t="s">
        <v>104</v>
      </c>
      <c r="E119" s="12">
        <v>1.0</v>
      </c>
      <c r="F119" s="9"/>
      <c r="G119" s="13"/>
    </row>
    <row r="120" ht="18.0" customHeight="1">
      <c r="A120" s="8" t="str">
        <f t="shared" si="7"/>
        <v>113</v>
      </c>
      <c r="B120" s="15" t="s">
        <v>126</v>
      </c>
      <c r="C120" s="16" t="s">
        <v>103</v>
      </c>
      <c r="D120" s="11" t="s">
        <v>104</v>
      </c>
      <c r="E120" s="12">
        <v>1.0</v>
      </c>
      <c r="F120" s="15"/>
      <c r="G120" s="13"/>
    </row>
    <row r="121" ht="18.0" customHeight="1">
      <c r="A121" s="8" t="str">
        <f t="shared" si="7"/>
        <v>114</v>
      </c>
      <c r="B121" s="9" t="s">
        <v>127</v>
      </c>
      <c r="C121" s="10" t="s">
        <v>103</v>
      </c>
      <c r="D121" s="11" t="s">
        <v>104</v>
      </c>
      <c r="E121" s="12">
        <v>10.0</v>
      </c>
      <c r="F121" s="9"/>
      <c r="G121" s="13"/>
    </row>
    <row r="122" ht="18.0" customHeight="1">
      <c r="A122" s="8" t="str">
        <f t="shared" si="7"/>
        <v>115</v>
      </c>
      <c r="B122" s="15" t="s">
        <v>128</v>
      </c>
      <c r="C122" s="16" t="s">
        <v>103</v>
      </c>
      <c r="D122" s="11" t="s">
        <v>104</v>
      </c>
      <c r="E122" s="12">
        <v>1.0</v>
      </c>
      <c r="F122" s="15"/>
      <c r="G122" s="13"/>
    </row>
    <row r="123" ht="18.0" customHeight="1">
      <c r="A123" s="8" t="str">
        <f t="shared" si="7"/>
        <v>116</v>
      </c>
      <c r="B123" s="9" t="s">
        <v>129</v>
      </c>
      <c r="C123" s="10" t="s">
        <v>103</v>
      </c>
      <c r="D123" s="11" t="s">
        <v>104</v>
      </c>
      <c r="E123" s="12">
        <v>1.0</v>
      </c>
      <c r="F123" s="9"/>
      <c r="G123" s="13"/>
    </row>
    <row r="124" ht="18.0" customHeight="1">
      <c r="A124" s="8" t="str">
        <f t="shared" si="7"/>
        <v>117</v>
      </c>
      <c r="B124" s="15" t="s">
        <v>130</v>
      </c>
      <c r="C124" s="16" t="s">
        <v>103</v>
      </c>
      <c r="D124" s="11" t="s">
        <v>104</v>
      </c>
      <c r="E124" s="12">
        <v>10.0</v>
      </c>
      <c r="F124" s="15"/>
      <c r="G124" s="13"/>
    </row>
    <row r="125" ht="18.0" customHeight="1">
      <c r="A125" s="8" t="str">
        <f t="shared" si="7"/>
        <v>118</v>
      </c>
      <c r="B125" s="9" t="s">
        <v>131</v>
      </c>
      <c r="C125" s="10" t="s">
        <v>103</v>
      </c>
      <c r="D125" s="11" t="s">
        <v>104</v>
      </c>
      <c r="E125" s="12">
        <v>25.0</v>
      </c>
      <c r="F125" s="9"/>
      <c r="G125" s="13"/>
    </row>
    <row r="126" ht="18.0" customHeight="1">
      <c r="A126" s="8" t="str">
        <f t="shared" si="7"/>
        <v>119</v>
      </c>
      <c r="B126" s="15" t="s">
        <v>132</v>
      </c>
      <c r="C126" s="16" t="s">
        <v>103</v>
      </c>
      <c r="D126" s="11" t="s">
        <v>104</v>
      </c>
      <c r="E126" s="12">
        <v>1.0</v>
      </c>
      <c r="F126" s="15"/>
      <c r="G126" s="13"/>
    </row>
    <row r="127" ht="18.0" customHeight="1">
      <c r="A127" s="8" t="str">
        <f t="shared" si="7"/>
        <v>120</v>
      </c>
      <c r="B127" s="9" t="s">
        <v>133</v>
      </c>
      <c r="C127" s="10" t="s">
        <v>103</v>
      </c>
      <c r="D127" s="11" t="s">
        <v>104</v>
      </c>
      <c r="E127" s="12">
        <v>1.0</v>
      </c>
      <c r="F127" s="9"/>
      <c r="G127" s="13"/>
    </row>
    <row r="128" ht="18.0" customHeight="1">
      <c r="A128" s="8" t="str">
        <f t="shared" si="7"/>
        <v>121</v>
      </c>
      <c r="B128" s="15" t="s">
        <v>134</v>
      </c>
      <c r="C128" s="16" t="s">
        <v>103</v>
      </c>
      <c r="D128" s="11" t="s">
        <v>104</v>
      </c>
      <c r="E128" s="12">
        <v>10.0</v>
      </c>
      <c r="F128" s="15"/>
      <c r="G128" s="13"/>
    </row>
    <row r="129" ht="18.0" customHeight="1">
      <c r="A129" s="8" t="str">
        <f t="shared" si="7"/>
        <v>122</v>
      </c>
      <c r="B129" s="9" t="s">
        <v>135</v>
      </c>
      <c r="C129" s="10" t="s">
        <v>103</v>
      </c>
      <c r="D129" s="11" t="s">
        <v>104</v>
      </c>
      <c r="E129" s="12">
        <v>10.0</v>
      </c>
      <c r="F129" s="9"/>
      <c r="G129" s="13"/>
    </row>
    <row r="130" ht="18.0" customHeight="1">
      <c r="A130" s="8" t="str">
        <f t="shared" si="7"/>
        <v>123</v>
      </c>
      <c r="B130" s="15" t="s">
        <v>136</v>
      </c>
      <c r="C130" s="16" t="s">
        <v>103</v>
      </c>
      <c r="D130" s="11" t="s">
        <v>104</v>
      </c>
      <c r="E130" s="12">
        <v>5.0</v>
      </c>
      <c r="F130" s="15"/>
      <c r="G130" s="13"/>
    </row>
    <row r="131" ht="18.0" customHeight="1">
      <c r="A131" s="8" t="str">
        <f t="shared" si="7"/>
        <v>124</v>
      </c>
      <c r="B131" s="9" t="s">
        <v>137</v>
      </c>
      <c r="C131" s="10" t="s">
        <v>103</v>
      </c>
      <c r="D131" s="11" t="s">
        <v>104</v>
      </c>
      <c r="E131" s="12">
        <v>5.0</v>
      </c>
      <c r="F131" s="9"/>
      <c r="G131" s="13"/>
    </row>
    <row r="132" ht="18.0" customHeight="1">
      <c r="A132" s="8" t="str">
        <f t="shared" si="7"/>
        <v>125</v>
      </c>
      <c r="B132" s="15" t="s">
        <v>138</v>
      </c>
      <c r="C132" s="16" t="s">
        <v>103</v>
      </c>
      <c r="D132" s="11" t="s">
        <v>104</v>
      </c>
      <c r="E132" s="12">
        <v>5.0</v>
      </c>
      <c r="F132" s="15"/>
      <c r="G132" s="13"/>
    </row>
    <row r="133" ht="18.0" customHeight="1">
      <c r="A133" s="8" t="str">
        <f t="shared" si="7"/>
        <v>126</v>
      </c>
      <c r="B133" s="9" t="s">
        <v>139</v>
      </c>
      <c r="C133" s="10" t="s">
        <v>103</v>
      </c>
      <c r="D133" s="11" t="s">
        <v>104</v>
      </c>
      <c r="E133" s="12">
        <v>1.0</v>
      </c>
      <c r="F133" s="9"/>
      <c r="G133" s="13"/>
    </row>
    <row r="134" ht="18.0" customHeight="1">
      <c r="A134" s="8" t="str">
        <f t="shared" si="7"/>
        <v>127</v>
      </c>
      <c r="B134" s="15" t="s">
        <v>140</v>
      </c>
      <c r="C134" s="16" t="s">
        <v>103</v>
      </c>
      <c r="D134" s="11" t="s">
        <v>104</v>
      </c>
      <c r="E134" s="12">
        <v>1.0</v>
      </c>
      <c r="F134" s="15"/>
      <c r="G134" s="13"/>
    </row>
    <row r="135" ht="18.0" customHeight="1">
      <c r="A135" s="8" t="str">
        <f t="shared" si="7"/>
        <v>128</v>
      </c>
      <c r="B135" s="9" t="s">
        <v>141</v>
      </c>
      <c r="C135" s="10" t="s">
        <v>103</v>
      </c>
      <c r="D135" s="11" t="s">
        <v>104</v>
      </c>
      <c r="E135" s="12">
        <v>10.0</v>
      </c>
      <c r="F135" s="9"/>
      <c r="G135" s="13"/>
    </row>
    <row r="136" ht="18.0" customHeight="1">
      <c r="A136" s="8" t="str">
        <f t="shared" si="7"/>
        <v>129</v>
      </c>
      <c r="B136" s="15" t="s">
        <v>142</v>
      </c>
      <c r="C136" s="16" t="s">
        <v>103</v>
      </c>
      <c r="D136" s="11" t="s">
        <v>104</v>
      </c>
      <c r="E136" s="12">
        <v>1.0</v>
      </c>
      <c r="F136" s="15"/>
      <c r="G136" s="13"/>
    </row>
    <row r="137" ht="18.0" customHeight="1">
      <c r="A137" s="8" t="str">
        <f t="shared" si="7"/>
        <v>130</v>
      </c>
      <c r="B137" s="9" t="s">
        <v>143</v>
      </c>
      <c r="C137" s="10" t="s">
        <v>103</v>
      </c>
      <c r="D137" s="11" t="s">
        <v>104</v>
      </c>
      <c r="E137" s="12">
        <v>1.0</v>
      </c>
      <c r="F137" s="9"/>
      <c r="G137" s="13"/>
    </row>
    <row r="138" ht="18.0" customHeight="1">
      <c r="A138" s="8" t="str">
        <f t="shared" si="7"/>
        <v>131</v>
      </c>
      <c r="B138" s="15" t="s">
        <v>144</v>
      </c>
      <c r="C138" s="16" t="s">
        <v>103</v>
      </c>
      <c r="D138" s="11" t="s">
        <v>104</v>
      </c>
      <c r="E138" s="12">
        <v>1.0</v>
      </c>
      <c r="F138" s="15"/>
      <c r="G138" s="13"/>
    </row>
    <row r="139" ht="18.0" customHeight="1">
      <c r="A139" s="8" t="str">
        <f t="shared" si="7"/>
        <v>132</v>
      </c>
      <c r="B139" s="9" t="s">
        <v>145</v>
      </c>
      <c r="C139" s="10" t="s">
        <v>103</v>
      </c>
      <c r="D139" s="11" t="s">
        <v>104</v>
      </c>
      <c r="E139" s="12">
        <v>5.0</v>
      </c>
      <c r="F139" s="9"/>
      <c r="G139" s="13"/>
    </row>
    <row r="140" ht="18.0" customHeight="1">
      <c r="A140" s="8" t="str">
        <f t="shared" si="7"/>
        <v>133</v>
      </c>
      <c r="B140" s="15" t="s">
        <v>146</v>
      </c>
      <c r="C140" s="16" t="s">
        <v>103</v>
      </c>
      <c r="D140" s="11" t="s">
        <v>104</v>
      </c>
      <c r="E140" s="12">
        <v>5.0</v>
      </c>
      <c r="F140" s="15"/>
      <c r="G140" s="13"/>
    </row>
    <row r="141" ht="15.75" customHeight="1"/>
    <row r="142" ht="21.75" customHeight="1">
      <c r="A142" s="18" t="s">
        <v>147</v>
      </c>
      <c r="B142" s="2"/>
      <c r="C142" s="2"/>
      <c r="D142" s="19">
        <v>130.0</v>
      </c>
      <c r="E142" s="20" t="s">
        <v>148</v>
      </c>
      <c r="F142" s="2"/>
      <c r="G142" s="2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</sheetData>
  <mergeCells count="8">
    <mergeCell ref="A96:G96"/>
    <mergeCell ref="A142:C142"/>
    <mergeCell ref="E142:G142"/>
    <mergeCell ref="A1:G1"/>
    <mergeCell ref="A2:G2"/>
    <mergeCell ref="A3:G3"/>
    <mergeCell ref="A5:G5"/>
    <mergeCell ref="A65:G65"/>
  </mergeCells>
  <conditionalFormatting sqref="E5:E140">
    <cfRule type="expression" dxfId="0" priority="1">
      <formula>E5&lt;&gt;D5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4" width="12.0"/>
    <col customWidth="1" min="5" max="5" width="10.0"/>
    <col customWidth="1" min="6" max="6" width="14.0"/>
    <col customWidth="1" min="7" max="7" width="10.0"/>
    <col customWidth="1" min="8" max="8" width="18.0"/>
    <col customWidth="1" min="9" max="9" width="12.0"/>
    <col customWidth="1" min="10" max="10" width="14.0"/>
    <col customWidth="1" min="11" max="11" width="5.0"/>
    <col customWidth="1" min="12" max="12" width="18.0"/>
    <col customWidth="1" min="13" max="13" width="14.0"/>
    <col customWidth="1" min="14" max="14" width="5.0"/>
  </cols>
  <sheetData>
    <row r="1" ht="36.0" customHeight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1.75" customHeight="1">
      <c r="A2" s="21" t="s">
        <v>150</v>
      </c>
      <c r="B2" s="22"/>
      <c r="C2" s="23">
        <v>46257.0</v>
      </c>
      <c r="D2" s="2"/>
      <c r="E2" s="21" t="s">
        <v>151</v>
      </c>
      <c r="F2" s="2"/>
      <c r="G2" s="24" t="str">
        <f>TEXT(C2,"DDDD")</f>
        <v>Sunday</v>
      </c>
      <c r="H2" s="2"/>
      <c r="I2" s="21" t="s">
        <v>152</v>
      </c>
      <c r="J2" s="2"/>
      <c r="K2" s="25" t="s">
        <v>153</v>
      </c>
      <c r="L2" s="2"/>
      <c r="M2" s="2"/>
      <c r="N2" s="2"/>
    </row>
    <row r="3" ht="18.0" customHeight="1">
      <c r="A3" s="26" t="s">
        <v>154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6.0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36.0" customHeight="1">
      <c r="A5" s="27" t="s">
        <v>2</v>
      </c>
      <c r="B5" s="27" t="s">
        <v>3</v>
      </c>
      <c r="C5" s="27" t="s">
        <v>155</v>
      </c>
      <c r="D5" s="27" t="s">
        <v>156</v>
      </c>
      <c r="E5" s="27" t="s">
        <v>157</v>
      </c>
      <c r="F5" s="27" t="s">
        <v>158</v>
      </c>
      <c r="G5" s="27" t="s">
        <v>159</v>
      </c>
      <c r="H5" s="27" t="s">
        <v>160</v>
      </c>
      <c r="I5" s="27" t="s">
        <v>161</v>
      </c>
      <c r="J5" s="27" t="s">
        <v>162</v>
      </c>
      <c r="K5" s="27"/>
      <c r="L5" s="27" t="s">
        <v>163</v>
      </c>
      <c r="M5" s="27" t="s">
        <v>164</v>
      </c>
      <c r="N5" s="27"/>
    </row>
    <row r="6" ht="19.5" customHeight="1">
      <c r="A6" s="7" t="s">
        <v>165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8.0" customHeight="1">
      <c r="A7" s="14">
        <v>1.0</v>
      </c>
      <c r="B7" s="15" t="s">
        <v>9</v>
      </c>
      <c r="C7" s="28">
        <v>4.0</v>
      </c>
      <c r="D7" s="29">
        <v>0.0</v>
      </c>
      <c r="E7" s="14" t="s">
        <v>166</v>
      </c>
      <c r="F7" s="19" t="str">
        <f t="shared" ref="F7:F11" si="1">C7+D7</f>
        <v>4</v>
      </c>
      <c r="G7" s="14">
        <v>1.0</v>
      </c>
      <c r="H7" s="16" t="s">
        <v>167</v>
      </c>
      <c r="I7" s="30" t="str">
        <f>'⚙️ Master Threshold'!E6</f>
        <v>2</v>
      </c>
      <c r="J7" s="14" t="str">
        <f t="shared" ref="J7:J39" si="2">IF(I7=0,"—",IF(F7&lt;=I7,"🔴 KRITIS",IF(F7&lt;=I7*2,"🟠 HAMPIR HABIS","🟢 AMAN")))</f>
        <v>🟠 HAMPIR HABIS</v>
      </c>
      <c r="K7" s="13"/>
      <c r="L7" s="31" t="str">
        <f t="shared" ref="L7:L37" si="3">IF(J7="🔴 KRITIS",B7,"")</f>
        <v/>
      </c>
      <c r="M7" s="32" t="str">
        <f t="shared" ref="M7:M37" si="4">IF(J7="🔴 KRITIS","SEGERA RESTOCK!",IF(J7="🟠 HAMPIR HABIS","Cek &amp; Restock",""))</f>
        <v>Cek &amp; Restock</v>
      </c>
      <c r="N7" s="13"/>
    </row>
    <row r="8" ht="18.0" customHeight="1">
      <c r="A8" s="8">
        <v>2.0</v>
      </c>
      <c r="B8" s="9" t="s">
        <v>11</v>
      </c>
      <c r="C8" s="28">
        <v>2.0</v>
      </c>
      <c r="D8" s="29">
        <v>0.0</v>
      </c>
      <c r="E8" s="8" t="s">
        <v>168</v>
      </c>
      <c r="F8" s="19" t="str">
        <f t="shared" si="1"/>
        <v>2</v>
      </c>
      <c r="G8" s="8">
        <v>450.0</v>
      </c>
      <c r="H8" s="10" t="s">
        <v>169</v>
      </c>
      <c r="I8" s="30" t="str">
        <f>'⚙️ Master Threshold'!E7</f>
        <v>1</v>
      </c>
      <c r="J8" s="8" t="str">
        <f t="shared" si="2"/>
        <v>🟠 HAMPIR HABIS</v>
      </c>
      <c r="K8" s="13"/>
      <c r="L8" s="33" t="str">
        <f t="shared" si="3"/>
        <v/>
      </c>
      <c r="M8" s="34" t="str">
        <f t="shared" si="4"/>
        <v>Cek &amp; Restock</v>
      </c>
      <c r="N8" s="13"/>
    </row>
    <row r="9" ht="18.0" customHeight="1">
      <c r="A9" s="14">
        <v>3.0</v>
      </c>
      <c r="B9" s="15" t="s">
        <v>170</v>
      </c>
      <c r="C9" s="29">
        <v>18.0</v>
      </c>
      <c r="D9" s="29">
        <v>8.0</v>
      </c>
      <c r="E9" s="14" t="s">
        <v>171</v>
      </c>
      <c r="F9" s="19" t="str">
        <f t="shared" si="1"/>
        <v>26</v>
      </c>
      <c r="G9" s="14">
        <v>15.0</v>
      </c>
      <c r="H9" s="16" t="s">
        <v>172</v>
      </c>
      <c r="I9" s="30" t="str">
        <f>'⚙️ Master Threshold'!E8</f>
        <v>5</v>
      </c>
      <c r="J9" s="14" t="str">
        <f t="shared" si="2"/>
        <v>🟢 AMAN</v>
      </c>
      <c r="K9" s="13"/>
      <c r="L9" s="31" t="str">
        <f t="shared" si="3"/>
        <v/>
      </c>
      <c r="M9" s="32" t="str">
        <f t="shared" si="4"/>
        <v/>
      </c>
      <c r="N9" s="13"/>
    </row>
    <row r="10">
      <c r="A10" s="8">
        <v>4.0</v>
      </c>
      <c r="B10" s="9" t="s">
        <v>13</v>
      </c>
      <c r="C10" s="28">
        <v>0.0</v>
      </c>
      <c r="D10" s="29">
        <v>863.0</v>
      </c>
      <c r="E10" s="8" t="s">
        <v>173</v>
      </c>
      <c r="F10" s="19" t="str">
        <f t="shared" si="1"/>
        <v>863</v>
      </c>
      <c r="G10" s="8">
        <v>1200.0</v>
      </c>
      <c r="H10" s="10" t="s">
        <v>174</v>
      </c>
      <c r="I10" s="30" t="str">
        <f>'⚙️ Master Threshold'!E9</f>
        <v>125</v>
      </c>
      <c r="J10" s="8" t="str">
        <f t="shared" si="2"/>
        <v>🟢 AMAN</v>
      </c>
      <c r="K10" s="13"/>
      <c r="L10" s="33" t="str">
        <f t="shared" si="3"/>
        <v/>
      </c>
      <c r="M10" s="34" t="str">
        <f t="shared" si="4"/>
        <v/>
      </c>
      <c r="N10" s="13"/>
    </row>
    <row r="11" ht="18.0" customHeight="1">
      <c r="A11" s="14">
        <v>5.0</v>
      </c>
      <c r="B11" s="15" t="s">
        <v>14</v>
      </c>
      <c r="C11" s="28">
        <v>0.0</v>
      </c>
      <c r="D11" s="35">
        <v>2.2</v>
      </c>
      <c r="E11" s="14" t="s">
        <v>166</v>
      </c>
      <c r="F11" s="36" t="str">
        <f t="shared" si="1"/>
        <v>2</v>
      </c>
      <c r="G11" s="14">
        <v>5.0</v>
      </c>
      <c r="H11" s="16" t="s">
        <v>175</v>
      </c>
      <c r="I11" s="30" t="str">
        <f>'⚙️ Master Threshold'!E10</f>
        <v>1</v>
      </c>
      <c r="J11" s="14" t="str">
        <f t="shared" si="2"/>
        <v>🟢 AMAN</v>
      </c>
      <c r="K11" s="13"/>
      <c r="L11" s="31" t="str">
        <f t="shared" si="3"/>
        <v/>
      </c>
      <c r="M11" s="32" t="str">
        <f t="shared" si="4"/>
        <v/>
      </c>
      <c r="N11" s="13"/>
    </row>
    <row r="12">
      <c r="A12" s="8">
        <v>6.0</v>
      </c>
      <c r="B12" s="9" t="s">
        <v>15</v>
      </c>
      <c r="C12" s="29">
        <v>0.0</v>
      </c>
      <c r="D12" s="29">
        <v>41.0</v>
      </c>
      <c r="E12" s="8" t="s">
        <v>173</v>
      </c>
      <c r="F12" s="19" t="str">
        <f t="shared" ref="F12:F14" si="5">C12+D12-7</f>
        <v>34</v>
      </c>
      <c r="G12" s="8">
        <v>40.0</v>
      </c>
      <c r="H12" s="10" t="s">
        <v>176</v>
      </c>
      <c r="I12" s="30" t="str">
        <f>'⚙️ Master Threshold'!E11</f>
        <v>8</v>
      </c>
      <c r="J12" s="8" t="str">
        <f t="shared" si="2"/>
        <v>🟢 AMAN</v>
      </c>
      <c r="K12" s="13"/>
      <c r="L12" s="33" t="str">
        <f t="shared" si="3"/>
        <v/>
      </c>
      <c r="M12" s="34" t="str">
        <f t="shared" si="4"/>
        <v/>
      </c>
      <c r="N12" s="13"/>
    </row>
    <row r="13" ht="18.0" customHeight="1">
      <c r="A13" s="14">
        <v>7.0</v>
      </c>
      <c r="B13" s="15" t="s">
        <v>16</v>
      </c>
      <c r="C13" s="29">
        <v>0.0</v>
      </c>
      <c r="D13" s="29">
        <v>30.0</v>
      </c>
      <c r="E13" s="14" t="s">
        <v>173</v>
      </c>
      <c r="F13" s="19" t="str">
        <f t="shared" si="5"/>
        <v>23</v>
      </c>
      <c r="G13" s="14">
        <v>40.0</v>
      </c>
      <c r="H13" s="16" t="s">
        <v>176</v>
      </c>
      <c r="I13" s="30" t="str">
        <f>'⚙️ Master Threshold'!E12</f>
        <v>8</v>
      </c>
      <c r="J13" s="14" t="str">
        <f t="shared" si="2"/>
        <v>🟢 AMAN</v>
      </c>
      <c r="K13" s="13"/>
      <c r="L13" s="31" t="str">
        <f t="shared" si="3"/>
        <v/>
      </c>
      <c r="M13" s="32" t="str">
        <f t="shared" si="4"/>
        <v/>
      </c>
      <c r="N13" s="13"/>
    </row>
    <row r="14" ht="18.0" customHeight="1">
      <c r="A14" s="8">
        <v>8.0</v>
      </c>
      <c r="B14" s="9" t="s">
        <v>17</v>
      </c>
      <c r="C14" s="29">
        <v>0.0</v>
      </c>
      <c r="D14" s="29">
        <v>30.0</v>
      </c>
      <c r="E14" s="8" t="s">
        <v>173</v>
      </c>
      <c r="F14" s="19" t="str">
        <f t="shared" si="5"/>
        <v>23</v>
      </c>
      <c r="G14" s="8">
        <v>40.0</v>
      </c>
      <c r="H14" s="10" t="s">
        <v>176</v>
      </c>
      <c r="I14" s="30" t="str">
        <f>'⚙️ Master Threshold'!E13</f>
        <v>8</v>
      </c>
      <c r="J14" s="8" t="str">
        <f t="shared" si="2"/>
        <v>🟢 AMAN</v>
      </c>
      <c r="K14" s="13"/>
      <c r="L14" s="33" t="str">
        <f t="shared" si="3"/>
        <v/>
      </c>
      <c r="M14" s="34" t="str">
        <f t="shared" si="4"/>
        <v/>
      </c>
      <c r="N14" s="13"/>
    </row>
    <row r="15" ht="18.0" customHeight="1">
      <c r="A15" s="14">
        <v>9.0</v>
      </c>
      <c r="B15" s="15" t="s">
        <v>18</v>
      </c>
      <c r="C15" s="28">
        <v>0.0</v>
      </c>
      <c r="D15" s="28">
        <v>472.0</v>
      </c>
      <c r="E15" s="14" t="s">
        <v>173</v>
      </c>
      <c r="F15" s="19" t="str">
        <f>C15+D15-115</f>
        <v>357</v>
      </c>
      <c r="G15" s="14">
        <v>380.0</v>
      </c>
      <c r="H15" s="16" t="s">
        <v>177</v>
      </c>
      <c r="I15" s="30" t="str">
        <f>'⚙️ Master Threshold'!E14</f>
        <v>380</v>
      </c>
      <c r="J15" s="14" t="str">
        <f t="shared" si="2"/>
        <v>🔴 KRITIS</v>
      </c>
      <c r="K15" s="13"/>
      <c r="L15" s="31" t="str">
        <f t="shared" si="3"/>
        <v>Snowy Cheese</v>
      </c>
      <c r="M15" s="32" t="str">
        <f t="shared" si="4"/>
        <v>SEGERA RESTOCK!</v>
      </c>
      <c r="N15" s="13"/>
    </row>
    <row r="16">
      <c r="A16" s="8">
        <v>10.0</v>
      </c>
      <c r="B16" s="9" t="s">
        <v>19</v>
      </c>
      <c r="C16" s="29">
        <v>0.0</v>
      </c>
      <c r="D16" s="28">
        <v>329.0</v>
      </c>
      <c r="E16" s="8" t="s">
        <v>173</v>
      </c>
      <c r="F16" s="19" t="str">
        <f t="shared" ref="F16:F19" si="6">C16+D16</f>
        <v>329</v>
      </c>
      <c r="G16" s="8">
        <v>200.0</v>
      </c>
      <c r="H16" s="10" t="s">
        <v>178</v>
      </c>
      <c r="I16" s="30" t="str">
        <f>'⚙️ Master Threshold'!E15</f>
        <v>125</v>
      </c>
      <c r="J16" s="8" t="str">
        <f t="shared" si="2"/>
        <v>🟢 AMAN</v>
      </c>
      <c r="K16" s="13"/>
      <c r="L16" s="33" t="str">
        <f t="shared" si="3"/>
        <v/>
      </c>
      <c r="M16" s="34" t="str">
        <f t="shared" si="4"/>
        <v/>
      </c>
      <c r="N16" s="13"/>
    </row>
    <row r="17" ht="18.0" customHeight="1">
      <c r="A17" s="14">
        <v>11.0</v>
      </c>
      <c r="B17" s="15" t="s">
        <v>20</v>
      </c>
      <c r="C17" s="29">
        <v>0.0</v>
      </c>
      <c r="D17" s="28">
        <v>599.0</v>
      </c>
      <c r="E17" s="14" t="s">
        <v>173</v>
      </c>
      <c r="F17" s="19" t="str">
        <f t="shared" si="6"/>
        <v>599</v>
      </c>
      <c r="G17" s="14">
        <v>1000.0</v>
      </c>
      <c r="H17" s="16" t="s">
        <v>167</v>
      </c>
      <c r="I17" s="30" t="str">
        <f>'⚙️ Master Threshold'!E16</f>
        <v>0</v>
      </c>
      <c r="J17" s="14" t="str">
        <f t="shared" si="2"/>
        <v>—</v>
      </c>
      <c r="K17" s="13"/>
      <c r="L17" s="31" t="str">
        <f t="shared" si="3"/>
        <v/>
      </c>
      <c r="M17" s="32" t="str">
        <f t="shared" si="4"/>
        <v/>
      </c>
      <c r="N17" s="13"/>
    </row>
    <row r="18" ht="18.0" customHeight="1">
      <c r="A18" s="37">
        <v>12.0</v>
      </c>
      <c r="B18" s="38" t="s">
        <v>21</v>
      </c>
      <c r="C18" s="39">
        <v>24.0</v>
      </c>
      <c r="D18" s="40">
        <v>19.0</v>
      </c>
      <c r="E18" s="37" t="s">
        <v>168</v>
      </c>
      <c r="F18" s="41" t="str">
        <f t="shared" si="6"/>
        <v>43</v>
      </c>
      <c r="G18" s="37">
        <v>24.0</v>
      </c>
      <c r="H18" s="42" t="s">
        <v>179</v>
      </c>
      <c r="I18" s="43" t="str">
        <f>'⚙️ Master Threshold'!E17</f>
        <v>10</v>
      </c>
      <c r="J18" s="37" t="str">
        <f t="shared" si="2"/>
        <v>🟢 AMAN</v>
      </c>
      <c r="K18" s="13"/>
      <c r="L18" s="44" t="str">
        <f t="shared" si="3"/>
        <v/>
      </c>
      <c r="M18" s="45" t="str">
        <f t="shared" si="4"/>
        <v/>
      </c>
      <c r="N18" s="13"/>
    </row>
    <row r="19" ht="18.0" customHeight="1">
      <c r="A19" s="14">
        <v>13.0</v>
      </c>
      <c r="B19" s="15" t="s">
        <v>22</v>
      </c>
      <c r="C19" s="29">
        <v>48.0</v>
      </c>
      <c r="D19" s="28">
        <v>1.0</v>
      </c>
      <c r="E19" s="14" t="s">
        <v>168</v>
      </c>
      <c r="F19" s="19" t="str">
        <f t="shared" si="6"/>
        <v>49</v>
      </c>
      <c r="G19" s="14">
        <v>24.0</v>
      </c>
      <c r="H19" s="16" t="s">
        <v>179</v>
      </c>
      <c r="I19" s="30" t="str">
        <f>'⚙️ Master Threshold'!E18</f>
        <v>10</v>
      </c>
      <c r="J19" s="14" t="str">
        <f t="shared" si="2"/>
        <v>🟢 AMAN</v>
      </c>
      <c r="K19" s="13"/>
      <c r="L19" s="31" t="str">
        <f t="shared" si="3"/>
        <v/>
      </c>
      <c r="M19" s="32" t="str">
        <f t="shared" si="4"/>
        <v/>
      </c>
      <c r="N19" s="13"/>
    </row>
    <row r="20" ht="18.0" customHeight="1">
      <c r="A20" s="8">
        <v>14.0</v>
      </c>
      <c r="B20" s="9" t="s">
        <v>23</v>
      </c>
      <c r="C20" s="29">
        <v>86.0</v>
      </c>
      <c r="D20" s="28">
        <v>23.0</v>
      </c>
      <c r="E20" s="8" t="s">
        <v>173</v>
      </c>
      <c r="F20" s="19" t="str">
        <f t="shared" ref="F20:F21" si="7">C20+D20-22</f>
        <v>87</v>
      </c>
      <c r="G20" s="8">
        <v>50.0</v>
      </c>
      <c r="H20" s="10" t="s">
        <v>180</v>
      </c>
      <c r="I20" s="30" t="str">
        <f>'⚙️ Master Threshold'!E19</f>
        <v>30</v>
      </c>
      <c r="J20" s="8" t="str">
        <f t="shared" si="2"/>
        <v>🟢 AMAN</v>
      </c>
      <c r="K20" s="13"/>
      <c r="L20" s="33" t="str">
        <f t="shared" si="3"/>
        <v/>
      </c>
      <c r="M20" s="34" t="str">
        <f t="shared" si="4"/>
        <v/>
      </c>
      <c r="N20" s="13"/>
    </row>
    <row r="21" ht="18.0" customHeight="1">
      <c r="A21" s="14">
        <v>15.0</v>
      </c>
      <c r="B21" s="15" t="s">
        <v>24</v>
      </c>
      <c r="C21" s="29" t="str">
        <f>200+44</f>
        <v>244</v>
      </c>
      <c r="D21" s="28">
        <v>51.0</v>
      </c>
      <c r="E21" s="14" t="s">
        <v>173</v>
      </c>
      <c r="F21" s="19" t="str">
        <f t="shared" si="7"/>
        <v>273</v>
      </c>
      <c r="G21" s="14">
        <v>100.0</v>
      </c>
      <c r="H21" s="16" t="s">
        <v>181</v>
      </c>
      <c r="I21" s="30" t="str">
        <f>'⚙️ Master Threshold'!E20</f>
        <v>30</v>
      </c>
      <c r="J21" s="14" t="str">
        <f t="shared" si="2"/>
        <v>🟢 AMAN</v>
      </c>
      <c r="K21" s="13"/>
      <c r="L21" s="31" t="str">
        <f t="shared" si="3"/>
        <v/>
      </c>
      <c r="M21" s="32" t="str">
        <f t="shared" si="4"/>
        <v/>
      </c>
      <c r="N21" s="13"/>
    </row>
    <row r="22" ht="18.0" customHeight="1">
      <c r="A22" s="8">
        <v>16.0</v>
      </c>
      <c r="B22" s="9" t="s">
        <v>25</v>
      </c>
      <c r="C22" s="29">
        <v>0.0</v>
      </c>
      <c r="D22" s="28">
        <v>295.0</v>
      </c>
      <c r="E22" s="8" t="s">
        <v>173</v>
      </c>
      <c r="F22" s="19" t="str">
        <f>C22+D22-195</f>
        <v>100</v>
      </c>
      <c r="G22" s="8">
        <v>1000.0</v>
      </c>
      <c r="H22" s="10" t="s">
        <v>167</v>
      </c>
      <c r="I22" s="30" t="str">
        <f>'⚙️ Master Threshold'!E21</f>
        <v>100</v>
      </c>
      <c r="J22" s="8" t="str">
        <f t="shared" si="2"/>
        <v>🔴 KRITIS</v>
      </c>
      <c r="K22" s="13"/>
      <c r="L22" s="33" t="str">
        <f t="shared" si="3"/>
        <v>Gula Putih</v>
      </c>
      <c r="M22" s="34" t="str">
        <f t="shared" si="4"/>
        <v>SEGERA RESTOCK!</v>
      </c>
      <c r="N22" s="13"/>
    </row>
    <row r="23" ht="18.0" customHeight="1">
      <c r="A23" s="14">
        <v>17.0</v>
      </c>
      <c r="B23" s="15" t="s">
        <v>26</v>
      </c>
      <c r="C23" s="29">
        <v>104.0</v>
      </c>
      <c r="D23" s="29">
        <v>616.0</v>
      </c>
      <c r="E23" s="14" t="s">
        <v>173</v>
      </c>
      <c r="F23" s="19" t="str">
        <f>C23+D23-265</f>
        <v>455</v>
      </c>
      <c r="G23" s="14">
        <v>400.0</v>
      </c>
      <c r="H23" s="16" t="s">
        <v>182</v>
      </c>
      <c r="I23" s="30" t="str">
        <f>'⚙️ Master Threshold'!E22</f>
        <v>20</v>
      </c>
      <c r="J23" s="14" t="str">
        <f t="shared" si="2"/>
        <v>🟢 AMAN</v>
      </c>
      <c r="K23" s="13"/>
      <c r="L23" s="31" t="str">
        <f t="shared" si="3"/>
        <v/>
      </c>
      <c r="M23" s="32" t="str">
        <f t="shared" si="4"/>
        <v/>
      </c>
      <c r="N23" s="13"/>
    </row>
    <row r="24" ht="18.0" customHeight="1">
      <c r="A24" s="8">
        <v>18.0</v>
      </c>
      <c r="B24" s="9" t="s">
        <v>27</v>
      </c>
      <c r="C24" s="29">
        <v>0.0</v>
      </c>
      <c r="D24" s="28">
        <v>51.0</v>
      </c>
      <c r="E24" s="8" t="s">
        <v>173</v>
      </c>
      <c r="F24" s="19" t="str">
        <f>C24+D24-40</f>
        <v>11</v>
      </c>
      <c r="G24" s="8">
        <v>500.0</v>
      </c>
      <c r="H24" s="10" t="s">
        <v>183</v>
      </c>
      <c r="I24" s="30" t="str">
        <f>'⚙️ Master Threshold'!E23</f>
        <v>20</v>
      </c>
      <c r="J24" s="8" t="str">
        <f t="shared" si="2"/>
        <v>🔴 KRITIS</v>
      </c>
      <c r="K24" s="13"/>
      <c r="L24" s="33" t="str">
        <f t="shared" si="3"/>
        <v>Cajun</v>
      </c>
      <c r="M24" s="34" t="str">
        <f t="shared" si="4"/>
        <v>SEGERA RESTOCK!</v>
      </c>
      <c r="N24" s="13"/>
    </row>
    <row r="25" ht="18.0" customHeight="1">
      <c r="A25" s="14">
        <v>19.0</v>
      </c>
      <c r="B25" s="15" t="s">
        <v>28</v>
      </c>
      <c r="C25" s="28">
        <v>232.0</v>
      </c>
      <c r="D25" s="28">
        <v>79.0</v>
      </c>
      <c r="E25" s="14" t="s">
        <v>173</v>
      </c>
      <c r="F25" s="19" t="str">
        <f>C25+D25-45</f>
        <v>266</v>
      </c>
      <c r="G25" s="14">
        <v>200.0</v>
      </c>
      <c r="H25" s="16" t="s">
        <v>184</v>
      </c>
      <c r="I25" s="30" t="str">
        <f>'⚙️ Master Threshold'!E24</f>
        <v>45</v>
      </c>
      <c r="J25" s="14" t="str">
        <f t="shared" si="2"/>
        <v>🟢 AMAN</v>
      </c>
      <c r="K25" s="13"/>
      <c r="L25" s="31" t="str">
        <f t="shared" si="3"/>
        <v/>
      </c>
      <c r="M25" s="32" t="str">
        <f t="shared" si="4"/>
        <v/>
      </c>
      <c r="N25" s="13"/>
    </row>
    <row r="26" ht="15.75" customHeight="1">
      <c r="A26" s="8">
        <v>20.0</v>
      </c>
      <c r="B26" s="9" t="s">
        <v>29</v>
      </c>
      <c r="C26" s="29">
        <v>0.0</v>
      </c>
      <c r="D26" s="29">
        <v>1.0</v>
      </c>
      <c r="E26" s="8" t="s">
        <v>168</v>
      </c>
      <c r="F26" s="19" t="str">
        <f t="shared" ref="F26:F35" si="8">C26+D26</f>
        <v>1</v>
      </c>
      <c r="G26" s="8">
        <v>12.0</v>
      </c>
      <c r="H26" s="10" t="s">
        <v>185</v>
      </c>
      <c r="I26" s="30" t="str">
        <f>'⚙️ Master Threshold'!E25</f>
        <v>1</v>
      </c>
      <c r="J26" s="8" t="str">
        <f t="shared" si="2"/>
        <v>🔴 KRITIS</v>
      </c>
      <c r="K26" s="13"/>
      <c r="L26" s="33" t="str">
        <f t="shared" si="3"/>
        <v>Bon Cabe</v>
      </c>
      <c r="M26" s="34" t="str">
        <f t="shared" si="4"/>
        <v>SEGERA RESTOCK!</v>
      </c>
      <c r="N26" s="13"/>
    </row>
    <row r="27" ht="18.0" customHeight="1">
      <c r="A27" s="14">
        <v>21.0</v>
      </c>
      <c r="B27" s="15" t="s">
        <v>30</v>
      </c>
      <c r="C27" s="28">
        <v>0.0</v>
      </c>
      <c r="D27" s="29">
        <v>1.0</v>
      </c>
      <c r="E27" s="14" t="s">
        <v>186</v>
      </c>
      <c r="F27" s="19" t="str">
        <f t="shared" si="8"/>
        <v>1</v>
      </c>
      <c r="G27" s="14">
        <v>1.0</v>
      </c>
      <c r="H27" s="16" t="s">
        <v>187</v>
      </c>
      <c r="I27" s="30" t="str">
        <f>'⚙️ Master Threshold'!E26</f>
        <v>1</v>
      </c>
      <c r="J27" s="14" t="str">
        <f t="shared" si="2"/>
        <v>🔴 KRITIS</v>
      </c>
      <c r="K27" s="13"/>
      <c r="L27" s="31" t="str">
        <f t="shared" si="3"/>
        <v>Plastik 15</v>
      </c>
      <c r="M27" s="32" t="str">
        <f t="shared" si="4"/>
        <v>SEGERA RESTOCK!</v>
      </c>
      <c r="N27" s="13"/>
    </row>
    <row r="28" ht="18.0" customHeight="1">
      <c r="A28" s="8">
        <v>22.0</v>
      </c>
      <c r="B28" s="9" t="s">
        <v>31</v>
      </c>
      <c r="C28" s="28">
        <v>1.0</v>
      </c>
      <c r="D28" s="29">
        <v>1.0</v>
      </c>
      <c r="E28" s="8" t="s">
        <v>186</v>
      </c>
      <c r="F28" s="19" t="str">
        <f t="shared" si="8"/>
        <v>2</v>
      </c>
      <c r="G28" s="8">
        <v>1.0</v>
      </c>
      <c r="H28" s="10" t="s">
        <v>187</v>
      </c>
      <c r="I28" s="30" t="str">
        <f>'⚙️ Master Threshold'!E27</f>
        <v>1</v>
      </c>
      <c r="J28" s="8" t="str">
        <f t="shared" si="2"/>
        <v>🟠 HAMPIR HABIS</v>
      </c>
      <c r="K28" s="13"/>
      <c r="L28" s="33" t="str">
        <f t="shared" si="3"/>
        <v/>
      </c>
      <c r="M28" s="34" t="str">
        <f t="shared" si="4"/>
        <v>Cek &amp; Restock</v>
      </c>
      <c r="N28" s="13"/>
    </row>
    <row r="29" ht="18.0" customHeight="1">
      <c r="A29" s="14">
        <v>23.0</v>
      </c>
      <c r="B29" s="15" t="s">
        <v>32</v>
      </c>
      <c r="C29" s="28">
        <v>1.0</v>
      </c>
      <c r="D29" s="29">
        <v>1.0</v>
      </c>
      <c r="E29" s="14" t="s">
        <v>186</v>
      </c>
      <c r="F29" s="19" t="str">
        <f t="shared" si="8"/>
        <v>2</v>
      </c>
      <c r="G29" s="14">
        <v>1.0</v>
      </c>
      <c r="H29" s="16" t="s">
        <v>187</v>
      </c>
      <c r="I29" s="30" t="str">
        <f>'⚙️ Master Threshold'!E28</f>
        <v>1</v>
      </c>
      <c r="J29" s="14" t="str">
        <f t="shared" si="2"/>
        <v>🟠 HAMPIR HABIS</v>
      </c>
      <c r="K29" s="13"/>
      <c r="L29" s="31" t="str">
        <f t="shared" si="3"/>
        <v/>
      </c>
      <c r="M29" s="32" t="str">
        <f t="shared" si="4"/>
        <v>Cek &amp; Restock</v>
      </c>
      <c r="N29" s="13"/>
    </row>
    <row r="30" ht="18.0" customHeight="1">
      <c r="A30" s="8">
        <v>24.0</v>
      </c>
      <c r="B30" s="9" t="s">
        <v>33</v>
      </c>
      <c r="C30" s="29">
        <v>0.0</v>
      </c>
      <c r="D30" s="28">
        <v>301.0</v>
      </c>
      <c r="E30" s="8" t="s">
        <v>173</v>
      </c>
      <c r="F30" s="19" t="str">
        <f t="shared" si="8"/>
        <v>301</v>
      </c>
      <c r="G30" s="8">
        <v>200.0</v>
      </c>
      <c r="H30" s="10" t="s">
        <v>188</v>
      </c>
      <c r="I30" s="30" t="str">
        <f>'⚙️ Master Threshold'!E29</f>
        <v>100</v>
      </c>
      <c r="J30" s="8" t="str">
        <f t="shared" si="2"/>
        <v>🟢 AMAN</v>
      </c>
      <c r="K30" s="13"/>
      <c r="L30" s="33" t="str">
        <f t="shared" si="3"/>
        <v/>
      </c>
      <c r="M30" s="34" t="str">
        <f t="shared" si="4"/>
        <v/>
      </c>
      <c r="N30" s="13"/>
    </row>
    <row r="31" ht="15.75" customHeight="1">
      <c r="A31" s="14">
        <v>25.0</v>
      </c>
      <c r="B31" s="15" t="s">
        <v>34</v>
      </c>
      <c r="C31" s="29">
        <v>0.0</v>
      </c>
      <c r="D31" s="29">
        <v>44.0</v>
      </c>
      <c r="E31" s="14" t="s">
        <v>173</v>
      </c>
      <c r="F31" s="19" t="str">
        <f t="shared" si="8"/>
        <v>44</v>
      </c>
      <c r="G31" s="14">
        <v>80.0</v>
      </c>
      <c r="H31" s="16" t="s">
        <v>189</v>
      </c>
      <c r="I31" s="30" t="str">
        <f>'⚙️ Master Threshold'!E30</f>
        <v>0</v>
      </c>
      <c r="J31" s="14" t="str">
        <f t="shared" si="2"/>
        <v>—</v>
      </c>
      <c r="K31" s="13"/>
      <c r="L31" s="31" t="str">
        <f t="shared" si="3"/>
        <v/>
      </c>
      <c r="M31" s="32" t="str">
        <f t="shared" si="4"/>
        <v/>
      </c>
      <c r="N31" s="13"/>
    </row>
    <row r="32" ht="18.0" customHeight="1">
      <c r="A32" s="8">
        <v>26.0</v>
      </c>
      <c r="B32" s="9" t="s">
        <v>35</v>
      </c>
      <c r="C32" s="29">
        <v>0.0</v>
      </c>
      <c r="D32" s="28">
        <v>19.0</v>
      </c>
      <c r="E32" s="8" t="s">
        <v>168</v>
      </c>
      <c r="F32" s="19" t="str">
        <f t="shared" si="8"/>
        <v>19</v>
      </c>
      <c r="G32" s="8">
        <v>1.0</v>
      </c>
      <c r="H32" s="10" t="s">
        <v>187</v>
      </c>
      <c r="I32" s="30" t="str">
        <f>'⚙️ Master Threshold'!E31</f>
        <v>3</v>
      </c>
      <c r="J32" s="8" t="str">
        <f t="shared" si="2"/>
        <v>🟢 AMAN</v>
      </c>
      <c r="K32" s="13"/>
      <c r="L32" s="33" t="str">
        <f t="shared" si="3"/>
        <v/>
      </c>
      <c r="M32" s="34" t="str">
        <f t="shared" si="4"/>
        <v/>
      </c>
      <c r="N32" s="13"/>
    </row>
    <row r="33" ht="18.0" customHeight="1">
      <c r="A33" s="14">
        <v>27.0</v>
      </c>
      <c r="B33" s="15" t="s">
        <v>36</v>
      </c>
      <c r="C33" s="29">
        <v>0.0</v>
      </c>
      <c r="D33" s="29">
        <v>1.0</v>
      </c>
      <c r="E33" s="14" t="s">
        <v>168</v>
      </c>
      <c r="F33" s="19" t="str">
        <f t="shared" si="8"/>
        <v>1</v>
      </c>
      <c r="G33" s="14">
        <v>100.0</v>
      </c>
      <c r="H33" s="16" t="s">
        <v>190</v>
      </c>
      <c r="I33" s="30" t="str">
        <f>'⚙️ Master Threshold'!E32</f>
        <v>0</v>
      </c>
      <c r="J33" s="14" t="str">
        <f t="shared" si="2"/>
        <v>—</v>
      </c>
      <c r="K33" s="13"/>
      <c r="L33" s="31" t="str">
        <f t="shared" si="3"/>
        <v/>
      </c>
      <c r="M33" s="32" t="str">
        <f t="shared" si="4"/>
        <v/>
      </c>
      <c r="N33" s="13"/>
    </row>
    <row r="34" ht="18.0" customHeight="1">
      <c r="A34" s="8">
        <v>28.0</v>
      </c>
      <c r="B34" s="9" t="s">
        <v>37</v>
      </c>
      <c r="C34" s="29">
        <v>0.0</v>
      </c>
      <c r="D34" s="29">
        <v>0.0</v>
      </c>
      <c r="E34" s="8" t="s">
        <v>168</v>
      </c>
      <c r="F34" s="19" t="str">
        <f t="shared" si="8"/>
        <v>0</v>
      </c>
      <c r="G34" s="8">
        <v>50.0</v>
      </c>
      <c r="H34" s="10" t="s">
        <v>191</v>
      </c>
      <c r="I34" s="30" t="str">
        <f>'⚙️ Master Threshold'!E33</f>
        <v>0</v>
      </c>
      <c r="J34" s="8" t="str">
        <f t="shared" si="2"/>
        <v>—</v>
      </c>
      <c r="K34" s="13"/>
      <c r="L34" s="33" t="str">
        <f t="shared" si="3"/>
        <v/>
      </c>
      <c r="M34" s="34" t="str">
        <f t="shared" si="4"/>
        <v/>
      </c>
      <c r="N34" s="13"/>
    </row>
    <row r="35" ht="18.0" customHeight="1">
      <c r="A35" s="14">
        <v>29.0</v>
      </c>
      <c r="B35" s="15" t="s">
        <v>38</v>
      </c>
      <c r="C35" s="29">
        <v>0.0</v>
      </c>
      <c r="D35" s="29">
        <v>3.0</v>
      </c>
      <c r="E35" s="14" t="s">
        <v>168</v>
      </c>
      <c r="F35" s="19" t="str">
        <f t="shared" si="8"/>
        <v>3</v>
      </c>
      <c r="G35" s="14">
        <v>25.0</v>
      </c>
      <c r="H35" s="16" t="s">
        <v>192</v>
      </c>
      <c r="I35" s="30" t="str">
        <f>'⚙️ Master Threshold'!E34</f>
        <v>0</v>
      </c>
      <c r="J35" s="14" t="str">
        <f t="shared" si="2"/>
        <v>—</v>
      </c>
      <c r="K35" s="13"/>
      <c r="L35" s="31" t="str">
        <f t="shared" si="3"/>
        <v/>
      </c>
      <c r="M35" s="32" t="str">
        <f t="shared" si="4"/>
        <v/>
      </c>
      <c r="N35" s="13"/>
    </row>
    <row r="36" ht="18.0" customHeight="1">
      <c r="A36" s="8">
        <v>30.0</v>
      </c>
      <c r="B36" s="9" t="s">
        <v>39</v>
      </c>
      <c r="C36" s="29">
        <v>0.0</v>
      </c>
      <c r="D36" s="28">
        <v>206.0</v>
      </c>
      <c r="E36" s="8" t="s">
        <v>173</v>
      </c>
      <c r="F36" s="19" t="str">
        <f>C36+D36-110</f>
        <v>96</v>
      </c>
      <c r="G36" s="8"/>
      <c r="H36" s="10" t="s">
        <v>193</v>
      </c>
      <c r="I36" s="30" t="str">
        <f>'⚙️ Master Threshold'!E35</f>
        <v>100</v>
      </c>
      <c r="J36" s="8" t="str">
        <f t="shared" si="2"/>
        <v>🔴 KRITIS</v>
      </c>
      <c r="K36" s="13"/>
      <c r="L36" s="33" t="str">
        <f t="shared" si="3"/>
        <v>Gas Torch</v>
      </c>
      <c r="M36" s="34" t="str">
        <f t="shared" si="4"/>
        <v>SEGERA RESTOCK!</v>
      </c>
      <c r="N36" s="13"/>
    </row>
    <row r="37" ht="18.0" customHeight="1">
      <c r="A37" s="14">
        <v>31.0</v>
      </c>
      <c r="B37" s="15" t="s">
        <v>40</v>
      </c>
      <c r="C37" s="29">
        <v>0.0</v>
      </c>
      <c r="D37" s="29">
        <v>33.0</v>
      </c>
      <c r="E37" s="14" t="s">
        <v>173</v>
      </c>
      <c r="F37" s="19" t="str">
        <f t="shared" ref="F37:F38" si="9">C37+D37</f>
        <v>33</v>
      </c>
      <c r="G37" s="14">
        <v>50.0</v>
      </c>
      <c r="H37" s="16" t="s">
        <v>180</v>
      </c>
      <c r="I37" s="30" t="str">
        <f>'⚙️ Master Threshold'!E36</f>
        <v>5</v>
      </c>
      <c r="J37" s="14" t="str">
        <f t="shared" si="2"/>
        <v>🟢 AMAN</v>
      </c>
      <c r="K37" s="13"/>
      <c r="L37" s="31" t="str">
        <f t="shared" si="3"/>
        <v/>
      </c>
      <c r="M37" s="32" t="str">
        <f t="shared" si="4"/>
        <v/>
      </c>
      <c r="N37" s="13"/>
    </row>
    <row r="38" ht="18.0" customHeight="1">
      <c r="A38" s="46">
        <v>32.0</v>
      </c>
      <c r="B38" s="47" t="s">
        <v>41</v>
      </c>
      <c r="C38" s="48">
        <v>0.0</v>
      </c>
      <c r="D38" s="48">
        <v>63.0</v>
      </c>
      <c r="E38" s="46" t="s">
        <v>173</v>
      </c>
      <c r="F38" s="49" t="str">
        <f t="shared" si="9"/>
        <v>63</v>
      </c>
      <c r="G38" s="46"/>
      <c r="H38" s="50"/>
      <c r="I38" s="30" t="str">
        <f>'⚙️ Master Threshold'!E37</f>
        <v>40</v>
      </c>
      <c r="J38" s="14" t="str">
        <f t="shared" si="2"/>
        <v>🟠 HAMPIR HABIS</v>
      </c>
      <c r="K38" s="51"/>
      <c r="L38" s="52"/>
      <c r="M38" s="53"/>
      <c r="N38" s="51"/>
    </row>
    <row r="39" ht="14.25" customHeight="1">
      <c r="A39" s="46">
        <v>33.0</v>
      </c>
      <c r="B39" s="47" t="s">
        <v>194</v>
      </c>
      <c r="C39" s="48">
        <v>0.0</v>
      </c>
      <c r="D39" s="54">
        <v>322.0</v>
      </c>
      <c r="E39" s="46" t="s">
        <v>173</v>
      </c>
      <c r="F39" s="49" t="str">
        <f>C39+D39-42</f>
        <v>280</v>
      </c>
      <c r="G39" s="46"/>
      <c r="H39" s="50"/>
      <c r="I39" s="30" t="str">
        <f>'⚙️ Master Threshold'!E38</f>
        <v>100</v>
      </c>
      <c r="J39" s="14" t="str">
        <f t="shared" si="2"/>
        <v>🟢 AMAN</v>
      </c>
      <c r="K39" s="51"/>
      <c r="L39" s="52"/>
      <c r="M39" s="53"/>
      <c r="N39" s="51"/>
    </row>
    <row r="40" ht="19.5" customHeight="1">
      <c r="A40" s="7" t="s">
        <v>195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18.0" customHeight="1">
      <c r="A41" s="14">
        <v>1.0</v>
      </c>
      <c r="B41" s="15" t="s">
        <v>43</v>
      </c>
      <c r="C41" s="28">
        <v>1000.0</v>
      </c>
      <c r="D41" s="28">
        <v>524.0</v>
      </c>
      <c r="E41" s="14" t="s">
        <v>173</v>
      </c>
      <c r="F41" s="19" t="str">
        <f t="shared" ref="F41:F43" si="10">C41+D41</f>
        <v>1524</v>
      </c>
      <c r="G41" s="14">
        <v>1000.0</v>
      </c>
      <c r="H41" s="16" t="s">
        <v>196</v>
      </c>
      <c r="I41" s="30" t="str">
        <f>'⚙️ Master Threshold'!E39</f>
        <v>250</v>
      </c>
      <c r="J41" s="14" t="str">
        <f t="shared" ref="J41:J66" si="11">IF(I41=0,"—",IF(F41&lt;=I41,"🔴 KRITIS",IF(F41&lt;=I41*2,"🟠 HAMPIR HABIS","🟢 AMAN")))</f>
        <v>🟢 AMAN</v>
      </c>
      <c r="K41" s="13"/>
      <c r="L41" s="31" t="str">
        <f t="shared" ref="L41:L66" si="12">IF(J41="🔴 KRITIS",B41,"")</f>
        <v/>
      </c>
      <c r="M41" s="32" t="str">
        <f t="shared" ref="M41:M66" si="13">IF(J41="🔴 KRITIS","SEGERA RESTOCK!",IF(J41="🟠 HAMPIR HABIS","Cek &amp; Restock",""))</f>
        <v/>
      </c>
      <c r="N41" s="13"/>
    </row>
    <row r="42" ht="18.0" customHeight="1">
      <c r="A42" s="8">
        <v>2.0</v>
      </c>
      <c r="B42" s="9" t="s">
        <v>44</v>
      </c>
      <c r="C42" s="28">
        <v>393.0</v>
      </c>
      <c r="D42" s="28">
        <v>184.0</v>
      </c>
      <c r="E42" s="8" t="s">
        <v>197</v>
      </c>
      <c r="F42" s="19" t="str">
        <f t="shared" si="10"/>
        <v>577</v>
      </c>
      <c r="G42" s="8">
        <v>350.0</v>
      </c>
      <c r="H42" s="10" t="s">
        <v>198</v>
      </c>
      <c r="I42" s="30" t="str">
        <f>'⚙️ Master Threshold'!E40</f>
        <v>100</v>
      </c>
      <c r="J42" s="8" t="str">
        <f t="shared" si="11"/>
        <v>🟢 AMAN</v>
      </c>
      <c r="K42" s="13"/>
      <c r="L42" s="33" t="str">
        <f t="shared" si="12"/>
        <v/>
      </c>
      <c r="M42" s="34" t="str">
        <f t="shared" si="13"/>
        <v/>
      </c>
      <c r="N42" s="13"/>
    </row>
    <row r="43" ht="18.0" customHeight="1">
      <c r="A43" s="14">
        <v>3.0</v>
      </c>
      <c r="B43" s="15" t="s">
        <v>45</v>
      </c>
      <c r="C43" s="28">
        <v>512.0</v>
      </c>
      <c r="D43" s="55">
        <v>163.0</v>
      </c>
      <c r="E43" s="14" t="s">
        <v>173</v>
      </c>
      <c r="F43" s="19" t="str">
        <f t="shared" si="10"/>
        <v>675</v>
      </c>
      <c r="G43" s="14">
        <v>250.0</v>
      </c>
      <c r="H43" s="16" t="s">
        <v>199</v>
      </c>
      <c r="I43" s="30" t="str">
        <f>'⚙️ Master Threshold'!E41</f>
        <v>200</v>
      </c>
      <c r="J43" s="14" t="str">
        <f t="shared" si="11"/>
        <v>🟢 AMAN</v>
      </c>
      <c r="K43" s="13"/>
      <c r="L43" s="31" t="str">
        <f t="shared" si="12"/>
        <v/>
      </c>
      <c r="M43" s="32" t="str">
        <f t="shared" si="13"/>
        <v/>
      </c>
      <c r="N43" s="13"/>
    </row>
    <row r="44" ht="18.0" customHeight="1">
      <c r="A44" s="8">
        <v>4.0</v>
      </c>
      <c r="B44" s="9" t="s">
        <v>46</v>
      </c>
      <c r="C44" s="29">
        <v>0.0</v>
      </c>
      <c r="D44" s="28">
        <v>906.0</v>
      </c>
      <c r="E44" s="8" t="s">
        <v>173</v>
      </c>
      <c r="F44" s="19" t="str">
        <f>C44+D44-185</f>
        <v>721</v>
      </c>
      <c r="G44" s="8">
        <v>1000.0</v>
      </c>
      <c r="H44" s="10" t="s">
        <v>200</v>
      </c>
      <c r="I44" s="30" t="str">
        <f>'⚙️ Master Threshold'!E42</f>
        <v>90</v>
      </c>
      <c r="J44" s="8" t="str">
        <f t="shared" si="11"/>
        <v>🟢 AMAN</v>
      </c>
      <c r="K44" s="13"/>
      <c r="L44" s="33" t="str">
        <f t="shared" si="12"/>
        <v/>
      </c>
      <c r="M44" s="34" t="str">
        <f t="shared" si="13"/>
        <v/>
      </c>
      <c r="N44" s="13"/>
    </row>
    <row r="45" ht="18.0" customHeight="1">
      <c r="A45" s="14">
        <v>5.0</v>
      </c>
      <c r="B45" s="15" t="s">
        <v>47</v>
      </c>
      <c r="C45" s="29">
        <v>0.0</v>
      </c>
      <c r="D45" s="29">
        <v>0.0</v>
      </c>
      <c r="E45" s="14" t="s">
        <v>173</v>
      </c>
      <c r="F45" s="19" t="str">
        <f>C45+D45-42</f>
        <v>-42</v>
      </c>
      <c r="G45" s="14">
        <v>450.0</v>
      </c>
      <c r="H45" s="16" t="s">
        <v>201</v>
      </c>
      <c r="I45" s="30" t="str">
        <f>'⚙️ Master Threshold'!E43</f>
        <v>90</v>
      </c>
      <c r="J45" s="14" t="str">
        <f t="shared" si="11"/>
        <v>🔴 KRITIS</v>
      </c>
      <c r="K45" s="13"/>
      <c r="L45" s="31" t="str">
        <f t="shared" si="12"/>
        <v>Salted Egg</v>
      </c>
      <c r="M45" s="32" t="str">
        <f t="shared" si="13"/>
        <v>SEGERA RESTOCK!</v>
      </c>
      <c r="N45" s="13"/>
    </row>
    <row r="46" ht="18.0" customHeight="1">
      <c r="A46" s="8">
        <v>6.0</v>
      </c>
      <c r="B46" s="9" t="s">
        <v>48</v>
      </c>
      <c r="C46" s="28">
        <v>0.0</v>
      </c>
      <c r="D46" s="28">
        <v>785.0</v>
      </c>
      <c r="E46" s="8" t="s">
        <v>173</v>
      </c>
      <c r="F46" s="19" t="str">
        <f>C46+D46-115</f>
        <v>670</v>
      </c>
      <c r="G46" s="8">
        <v>1000.0</v>
      </c>
      <c r="H46" s="10" t="s">
        <v>202</v>
      </c>
      <c r="I46" s="30" t="str">
        <f>'⚙️ Master Threshold'!E44</f>
        <v>40</v>
      </c>
      <c r="J46" s="8" t="str">
        <f t="shared" si="11"/>
        <v>🟢 AMAN</v>
      </c>
      <c r="K46" s="13"/>
      <c r="L46" s="33" t="str">
        <f t="shared" si="12"/>
        <v/>
      </c>
      <c r="M46" s="34" t="str">
        <f t="shared" si="13"/>
        <v/>
      </c>
      <c r="N46" s="13"/>
    </row>
    <row r="47" ht="18.0" customHeight="1">
      <c r="A47" s="14">
        <v>7.0</v>
      </c>
      <c r="B47" s="15" t="s">
        <v>49</v>
      </c>
      <c r="C47" s="29">
        <v>0.0</v>
      </c>
      <c r="D47" s="29">
        <v>0.0</v>
      </c>
      <c r="E47" s="14" t="s">
        <v>173</v>
      </c>
      <c r="F47" s="19" t="str">
        <f t="shared" ref="F47:F48" si="14">C47+D47-42</f>
        <v>-42</v>
      </c>
      <c r="G47" s="14">
        <v>400.0</v>
      </c>
      <c r="H47" s="16" t="s">
        <v>203</v>
      </c>
      <c r="I47" s="30" t="str">
        <f>'⚙️ Master Threshold'!E45</f>
        <v>90</v>
      </c>
      <c r="J47" s="14" t="str">
        <f t="shared" si="11"/>
        <v>🔴 KRITIS</v>
      </c>
      <c r="K47" s="13"/>
      <c r="L47" s="31" t="str">
        <f t="shared" si="12"/>
        <v>Yangnyeom</v>
      </c>
      <c r="M47" s="32" t="str">
        <f t="shared" si="13"/>
        <v>SEGERA RESTOCK!</v>
      </c>
      <c r="N47" s="13"/>
    </row>
    <row r="48" ht="18.0" customHeight="1">
      <c r="A48" s="8">
        <v>8.0</v>
      </c>
      <c r="B48" s="9" t="s">
        <v>50</v>
      </c>
      <c r="C48" s="29">
        <v>0.0</v>
      </c>
      <c r="D48" s="28">
        <v>286.0</v>
      </c>
      <c r="E48" s="8" t="s">
        <v>197</v>
      </c>
      <c r="F48" s="19" t="str">
        <f t="shared" si="14"/>
        <v>244</v>
      </c>
      <c r="G48" s="8">
        <v>450.0</v>
      </c>
      <c r="H48" s="10" t="s">
        <v>201</v>
      </c>
      <c r="I48" s="30" t="str">
        <f>'⚙️ Master Threshold'!E46</f>
        <v>90</v>
      </c>
      <c r="J48" s="8" t="str">
        <f t="shared" si="11"/>
        <v>🟢 AMAN</v>
      </c>
      <c r="K48" s="13"/>
      <c r="L48" s="33" t="str">
        <f t="shared" si="12"/>
        <v/>
      </c>
      <c r="M48" s="34" t="str">
        <f t="shared" si="13"/>
        <v/>
      </c>
      <c r="N48" s="13"/>
    </row>
    <row r="49" ht="18.0" customHeight="1">
      <c r="A49" s="56">
        <v>9.0</v>
      </c>
      <c r="B49" s="57" t="s">
        <v>51</v>
      </c>
      <c r="C49" s="58">
        <v>0.0</v>
      </c>
      <c r="D49" s="59">
        <v>152.0</v>
      </c>
      <c r="E49" s="56" t="s">
        <v>173</v>
      </c>
      <c r="F49" s="60" t="str">
        <f t="shared" ref="F49:F51" si="15">C49+D49</f>
        <v>152</v>
      </c>
      <c r="G49" s="56"/>
      <c r="H49" s="61" t="s">
        <v>193</v>
      </c>
      <c r="I49" s="62" t="str">
        <f>'⚙️ Master Threshold'!E47</f>
        <v>25</v>
      </c>
      <c r="J49" s="56" t="str">
        <f t="shared" si="11"/>
        <v>🟢 AMAN</v>
      </c>
      <c r="K49" s="63"/>
      <c r="L49" s="64" t="str">
        <f t="shared" si="12"/>
        <v/>
      </c>
      <c r="M49" s="65" t="str">
        <f t="shared" si="13"/>
        <v/>
      </c>
      <c r="N49" s="63"/>
    </row>
    <row r="50" ht="18.0" customHeight="1">
      <c r="A50" s="8">
        <v>10.0</v>
      </c>
      <c r="B50" s="9" t="s">
        <v>52</v>
      </c>
      <c r="C50" s="28">
        <v>380.0</v>
      </c>
      <c r="D50" s="28">
        <v>44.0</v>
      </c>
      <c r="E50" s="8" t="s">
        <v>173</v>
      </c>
      <c r="F50" s="19" t="str">
        <f t="shared" si="15"/>
        <v>424</v>
      </c>
      <c r="G50" s="8">
        <v>1.0</v>
      </c>
      <c r="H50" s="10" t="s">
        <v>204</v>
      </c>
      <c r="I50" s="30" t="str">
        <f>'⚙️ Master Threshold'!E48</f>
        <v>25</v>
      </c>
      <c r="J50" s="8" t="str">
        <f t="shared" si="11"/>
        <v>🟢 AMAN</v>
      </c>
      <c r="K50" s="13"/>
      <c r="L50" s="33" t="str">
        <f t="shared" si="12"/>
        <v/>
      </c>
      <c r="M50" s="34" t="str">
        <f t="shared" si="13"/>
        <v/>
      </c>
      <c r="N50" s="13"/>
    </row>
    <row r="51" ht="18.0" customHeight="1">
      <c r="A51" s="14">
        <v>11.0</v>
      </c>
      <c r="B51" s="15" t="s">
        <v>53</v>
      </c>
      <c r="C51" s="29">
        <v>0.0</v>
      </c>
      <c r="D51" s="29">
        <v>0.0</v>
      </c>
      <c r="E51" s="14" t="s">
        <v>173</v>
      </c>
      <c r="F51" s="19" t="str">
        <f t="shared" si="15"/>
        <v>0</v>
      </c>
      <c r="G51" s="14">
        <v>700.0</v>
      </c>
      <c r="H51" s="16" t="s">
        <v>205</v>
      </c>
      <c r="I51" s="30" t="str">
        <f>'⚙️ Master Threshold'!E49</f>
        <v>0</v>
      </c>
      <c r="J51" s="14" t="str">
        <f t="shared" si="11"/>
        <v>—</v>
      </c>
      <c r="K51" s="13"/>
      <c r="L51" s="31" t="str">
        <f t="shared" si="12"/>
        <v/>
      </c>
      <c r="M51" s="32" t="str">
        <f t="shared" si="13"/>
        <v/>
      </c>
      <c r="N51" s="13"/>
    </row>
    <row r="52" ht="18.0" customHeight="1">
      <c r="A52" s="8">
        <v>12.0</v>
      </c>
      <c r="B52" s="9" t="s">
        <v>54</v>
      </c>
      <c r="C52" s="28">
        <v>922.0</v>
      </c>
      <c r="D52" s="28">
        <v>1319.0</v>
      </c>
      <c r="E52" s="8" t="s">
        <v>197</v>
      </c>
      <c r="F52" s="19" t="str">
        <f t="shared" ref="F52:F53" si="16">C52+D52-465</f>
        <v>1776</v>
      </c>
      <c r="G52" s="8">
        <v>1000.0</v>
      </c>
      <c r="H52" s="10" t="s">
        <v>206</v>
      </c>
      <c r="I52" s="30" t="str">
        <f>'⚙️ Master Threshold'!E50</f>
        <v>1000</v>
      </c>
      <c r="J52" s="8" t="str">
        <f t="shared" si="11"/>
        <v>🟠 HAMPIR HABIS</v>
      </c>
      <c r="K52" s="13"/>
      <c r="L52" s="33" t="str">
        <f t="shared" si="12"/>
        <v/>
      </c>
      <c r="M52" s="34" t="str">
        <f t="shared" si="13"/>
        <v>Cek &amp; Restock</v>
      </c>
      <c r="N52" s="13"/>
    </row>
    <row r="53" ht="18.0" customHeight="1">
      <c r="A53" s="14">
        <v>13.0</v>
      </c>
      <c r="B53" s="15" t="s">
        <v>55</v>
      </c>
      <c r="C53" s="28">
        <v>0.0</v>
      </c>
      <c r="D53" s="28">
        <v>1044.0</v>
      </c>
      <c r="E53" s="14" t="s">
        <v>197</v>
      </c>
      <c r="F53" s="19" t="str">
        <f t="shared" si="16"/>
        <v>579</v>
      </c>
      <c r="G53" s="14">
        <v>1000.0</v>
      </c>
      <c r="H53" s="16" t="s">
        <v>206</v>
      </c>
      <c r="I53" s="30" t="str">
        <f>'⚙️ Master Threshold'!E51</f>
        <v>1000</v>
      </c>
      <c r="J53" s="14" t="str">
        <f t="shared" si="11"/>
        <v>🔴 KRITIS</v>
      </c>
      <c r="K53" s="13"/>
      <c r="L53" s="31" t="str">
        <f t="shared" si="12"/>
        <v>BBQ Sauce</v>
      </c>
      <c r="M53" s="32" t="str">
        <f t="shared" si="13"/>
        <v>SEGERA RESTOCK!</v>
      </c>
      <c r="N53" s="13"/>
    </row>
    <row r="54" ht="18.0" customHeight="1">
      <c r="A54" s="8">
        <v>14.0</v>
      </c>
      <c r="B54" s="9" t="s">
        <v>56</v>
      </c>
      <c r="C54" s="29">
        <v>525.0</v>
      </c>
      <c r="D54" s="28">
        <v>362.0</v>
      </c>
      <c r="E54" s="8" t="s">
        <v>173</v>
      </c>
      <c r="F54" s="19" t="str">
        <f t="shared" ref="F54:F55" si="17">C54+D54-45</f>
        <v>842</v>
      </c>
      <c r="G54" s="8">
        <v>1300.0</v>
      </c>
      <c r="H54" s="10" t="s">
        <v>207</v>
      </c>
      <c r="I54" s="30" t="str">
        <f>'⚙️ Master Threshold'!E52</f>
        <v>270</v>
      </c>
      <c r="J54" s="8" t="str">
        <f t="shared" si="11"/>
        <v>🟢 AMAN</v>
      </c>
      <c r="K54" s="13"/>
      <c r="L54" s="33" t="str">
        <f t="shared" si="12"/>
        <v/>
      </c>
      <c r="M54" s="34" t="str">
        <f t="shared" si="13"/>
        <v/>
      </c>
      <c r="N54" s="13"/>
    </row>
    <row r="55" ht="18.0" customHeight="1">
      <c r="A55" s="14">
        <v>15.0</v>
      </c>
      <c r="B55" s="15" t="s">
        <v>57</v>
      </c>
      <c r="C55" s="28">
        <v>459.0</v>
      </c>
      <c r="D55" s="28">
        <v>308.0</v>
      </c>
      <c r="E55" s="14" t="s">
        <v>173</v>
      </c>
      <c r="F55" s="19" t="str">
        <f t="shared" si="17"/>
        <v>722</v>
      </c>
      <c r="G55" s="14">
        <v>1000.0</v>
      </c>
      <c r="H55" s="16" t="s">
        <v>208</v>
      </c>
      <c r="I55" s="30" t="str">
        <f>'⚙️ Master Threshold'!E53</f>
        <v>250</v>
      </c>
      <c r="J55" s="14" t="str">
        <f t="shared" si="11"/>
        <v>🟢 AMAN</v>
      </c>
      <c r="K55" s="13"/>
      <c r="L55" s="31" t="str">
        <f t="shared" si="12"/>
        <v/>
      </c>
      <c r="M55" s="32" t="str">
        <f t="shared" si="13"/>
        <v/>
      </c>
      <c r="N55" s="13"/>
    </row>
    <row r="56" ht="18.0" customHeight="1">
      <c r="A56" s="8">
        <v>16.0</v>
      </c>
      <c r="B56" s="9" t="s">
        <v>58</v>
      </c>
      <c r="C56" s="28">
        <v>1047.0</v>
      </c>
      <c r="D56" s="28">
        <v>409.0</v>
      </c>
      <c r="E56" s="8" t="s">
        <v>197</v>
      </c>
      <c r="F56" s="19" t="str">
        <f t="shared" ref="F56:F60" si="18">C56+D56</f>
        <v>1456</v>
      </c>
      <c r="G56" s="8">
        <v>1000.0</v>
      </c>
      <c r="H56" s="10" t="s">
        <v>208</v>
      </c>
      <c r="I56" s="30" t="str">
        <f>'⚙️ Master Threshold'!E54</f>
        <v>48</v>
      </c>
      <c r="J56" s="8" t="str">
        <f t="shared" si="11"/>
        <v>🟢 AMAN</v>
      </c>
      <c r="K56" s="13"/>
      <c r="L56" s="33" t="str">
        <f t="shared" si="12"/>
        <v/>
      </c>
      <c r="M56" s="34" t="str">
        <f t="shared" si="13"/>
        <v/>
      </c>
      <c r="N56" s="13"/>
    </row>
    <row r="57" ht="15.75" customHeight="1">
      <c r="A57" s="14">
        <v>17.0</v>
      </c>
      <c r="B57" s="15" t="s">
        <v>59</v>
      </c>
      <c r="C57" s="29">
        <v>16.0</v>
      </c>
      <c r="D57" s="28">
        <v>4.0</v>
      </c>
      <c r="E57" s="14" t="s">
        <v>209</v>
      </c>
      <c r="F57" s="19" t="str">
        <f t="shared" si="18"/>
        <v>20</v>
      </c>
      <c r="G57" s="14">
        <v>7.0</v>
      </c>
      <c r="H57" s="16" t="s">
        <v>210</v>
      </c>
      <c r="I57" s="30" t="str">
        <f>'⚙️ Master Threshold'!E55</f>
        <v>4</v>
      </c>
      <c r="J57" s="14" t="str">
        <f t="shared" si="11"/>
        <v>🟢 AMAN</v>
      </c>
      <c r="K57" s="13"/>
      <c r="L57" s="31" t="str">
        <f t="shared" si="12"/>
        <v/>
      </c>
      <c r="M57" s="32" t="str">
        <f t="shared" si="13"/>
        <v/>
      </c>
      <c r="N57" s="13"/>
    </row>
    <row r="58" ht="18.0" customHeight="1">
      <c r="A58" s="8">
        <v>18.0</v>
      </c>
      <c r="B58" s="9" t="s">
        <v>60</v>
      </c>
      <c r="C58" s="29">
        <v>500.0</v>
      </c>
      <c r="D58" s="28">
        <v>198.0</v>
      </c>
      <c r="E58" s="8" t="s">
        <v>173</v>
      </c>
      <c r="F58" s="19" t="str">
        <f t="shared" si="18"/>
        <v>698</v>
      </c>
      <c r="G58" s="8">
        <v>500.0</v>
      </c>
      <c r="H58" s="10" t="s">
        <v>183</v>
      </c>
      <c r="I58" s="30" t="str">
        <f>'⚙️ Master Threshold'!E56</f>
        <v>250</v>
      </c>
      <c r="J58" s="8" t="str">
        <f t="shared" si="11"/>
        <v>🟢 AMAN</v>
      </c>
      <c r="K58" s="13"/>
      <c r="L58" s="33" t="str">
        <f t="shared" si="12"/>
        <v/>
      </c>
      <c r="M58" s="34" t="str">
        <f t="shared" si="13"/>
        <v/>
      </c>
      <c r="N58" s="13"/>
    </row>
    <row r="59" ht="18.0" customHeight="1">
      <c r="A59" s="14">
        <v>19.0</v>
      </c>
      <c r="B59" s="15" t="s">
        <v>61</v>
      </c>
      <c r="C59" s="29">
        <v>0.0</v>
      </c>
      <c r="D59" s="28">
        <v>166.0</v>
      </c>
      <c r="E59" s="14" t="s">
        <v>173</v>
      </c>
      <c r="F59" s="19" t="str">
        <f t="shared" si="18"/>
        <v>166</v>
      </c>
      <c r="G59" s="14">
        <v>1000.0</v>
      </c>
      <c r="H59" s="16" t="s">
        <v>208</v>
      </c>
      <c r="I59" s="30" t="str">
        <f>'⚙️ Master Threshold'!E57</f>
        <v>70</v>
      </c>
      <c r="J59" s="14" t="str">
        <f t="shared" si="11"/>
        <v>🟢 AMAN</v>
      </c>
      <c r="K59" s="13"/>
      <c r="L59" s="31" t="str">
        <f t="shared" si="12"/>
        <v/>
      </c>
      <c r="M59" s="32" t="str">
        <f t="shared" si="13"/>
        <v/>
      </c>
      <c r="N59" s="13"/>
    </row>
    <row r="60" ht="18.0" customHeight="1">
      <c r="A60" s="8">
        <v>20.0</v>
      </c>
      <c r="B60" s="9" t="s">
        <v>62</v>
      </c>
      <c r="C60" s="29">
        <v>0.0</v>
      </c>
      <c r="D60" s="29">
        <v>206.0</v>
      </c>
      <c r="E60" s="8" t="s">
        <v>173</v>
      </c>
      <c r="F60" s="19" t="str">
        <f t="shared" si="18"/>
        <v>206</v>
      </c>
      <c r="G60" s="8">
        <v>1000.0</v>
      </c>
      <c r="H60" s="10" t="s">
        <v>208</v>
      </c>
      <c r="I60" s="30" t="str">
        <f>'⚙️ Master Threshold'!E58</f>
        <v>70</v>
      </c>
      <c r="J60" s="8" t="str">
        <f t="shared" si="11"/>
        <v>🟢 AMAN</v>
      </c>
      <c r="K60" s="13"/>
      <c r="L60" s="33" t="str">
        <f t="shared" si="12"/>
        <v/>
      </c>
      <c r="M60" s="34" t="str">
        <f t="shared" si="13"/>
        <v/>
      </c>
      <c r="N60" s="13"/>
    </row>
    <row r="61" ht="18.0" customHeight="1">
      <c r="A61" s="14">
        <v>21.0</v>
      </c>
      <c r="B61" s="15" t="s">
        <v>63</v>
      </c>
      <c r="C61" s="29">
        <v>0.0</v>
      </c>
      <c r="D61" s="29">
        <v>70.0</v>
      </c>
      <c r="E61" s="14" t="s">
        <v>173</v>
      </c>
      <c r="F61" s="19" t="str">
        <f>C61+D61-50</f>
        <v>20</v>
      </c>
      <c r="G61" s="14">
        <v>650.0</v>
      </c>
      <c r="H61" s="16" t="s">
        <v>211</v>
      </c>
      <c r="I61" s="30" t="str">
        <f>'⚙️ Master Threshold'!E59</f>
        <v>290</v>
      </c>
      <c r="J61" s="14" t="str">
        <f t="shared" si="11"/>
        <v>🔴 KRITIS</v>
      </c>
      <c r="K61" s="13"/>
      <c r="L61" s="31" t="str">
        <f t="shared" si="12"/>
        <v>Pasta Banana</v>
      </c>
      <c r="M61" s="32" t="str">
        <f t="shared" si="13"/>
        <v>SEGERA RESTOCK!</v>
      </c>
      <c r="N61" s="13"/>
    </row>
    <row r="62" ht="18.0" customHeight="1">
      <c r="A62" s="8">
        <v>22.0</v>
      </c>
      <c r="B62" s="9" t="s">
        <v>64</v>
      </c>
      <c r="C62" s="28">
        <v>12.0</v>
      </c>
      <c r="D62" s="28">
        <v>15.0</v>
      </c>
      <c r="E62" s="8" t="s">
        <v>209</v>
      </c>
      <c r="F62" s="19" t="str">
        <f t="shared" ref="F62:F63" si="19">C62+D62</f>
        <v>27</v>
      </c>
      <c r="G62" s="8">
        <v>12.0</v>
      </c>
      <c r="H62" s="10" t="s">
        <v>212</v>
      </c>
      <c r="I62" s="30" t="str">
        <f>'⚙️ Master Threshold'!E60</f>
        <v>8</v>
      </c>
      <c r="J62" s="8" t="str">
        <f t="shared" si="11"/>
        <v>🟢 AMAN</v>
      </c>
      <c r="K62" s="13"/>
      <c r="L62" s="33" t="str">
        <f t="shared" si="12"/>
        <v/>
      </c>
      <c r="M62" s="34" t="str">
        <f t="shared" si="13"/>
        <v/>
      </c>
      <c r="N62" s="13"/>
    </row>
    <row r="63" ht="18.0" customHeight="1">
      <c r="A63" s="14">
        <v>23.0</v>
      </c>
      <c r="B63" s="15" t="s">
        <v>65</v>
      </c>
      <c r="C63" s="29">
        <v>100.0</v>
      </c>
      <c r="D63" s="28">
        <v>86.0</v>
      </c>
      <c r="E63" s="14" t="s">
        <v>173</v>
      </c>
      <c r="F63" s="19" t="str">
        <f t="shared" si="19"/>
        <v>186</v>
      </c>
      <c r="G63" s="14">
        <v>100.0</v>
      </c>
      <c r="H63" s="16" t="s">
        <v>213</v>
      </c>
      <c r="I63" s="30" t="str">
        <f>'⚙️ Master Threshold'!E61</f>
        <v>40</v>
      </c>
      <c r="J63" s="14" t="str">
        <f t="shared" si="11"/>
        <v>🟢 AMAN</v>
      </c>
      <c r="K63" s="13"/>
      <c r="L63" s="31" t="str">
        <f t="shared" si="12"/>
        <v/>
      </c>
      <c r="M63" s="32" t="str">
        <f t="shared" si="13"/>
        <v/>
      </c>
      <c r="N63" s="13"/>
    </row>
    <row r="64" ht="18.0" customHeight="1">
      <c r="A64" s="8">
        <v>24.0</v>
      </c>
      <c r="B64" s="9" t="s">
        <v>66</v>
      </c>
      <c r="C64" s="29">
        <v>0.0</v>
      </c>
      <c r="D64" s="29">
        <v>181.0</v>
      </c>
      <c r="E64" s="8" t="s">
        <v>173</v>
      </c>
      <c r="F64" s="19" t="str">
        <f>C64+D64-42</f>
        <v>139</v>
      </c>
      <c r="G64" s="8"/>
      <c r="H64" s="10" t="s">
        <v>193</v>
      </c>
      <c r="I64" s="30" t="str">
        <f>'⚙️ Master Threshold'!E62</f>
        <v>100</v>
      </c>
      <c r="J64" s="8" t="str">
        <f t="shared" si="11"/>
        <v>🟠 HAMPIR HABIS</v>
      </c>
      <c r="K64" s="13"/>
      <c r="L64" s="33" t="str">
        <f t="shared" si="12"/>
        <v/>
      </c>
      <c r="M64" s="34" t="str">
        <f t="shared" si="13"/>
        <v>Cek &amp; Restock</v>
      </c>
      <c r="N64" s="13"/>
    </row>
    <row r="65" ht="18.0" customHeight="1">
      <c r="A65" s="14">
        <v>25.0</v>
      </c>
      <c r="B65" s="15" t="s">
        <v>67</v>
      </c>
      <c r="C65" s="29">
        <v>210.0</v>
      </c>
      <c r="D65" s="28">
        <v>115.0</v>
      </c>
      <c r="E65" s="14" t="s">
        <v>173</v>
      </c>
      <c r="F65" s="19" t="str">
        <f>C65+D65-25</f>
        <v>300</v>
      </c>
      <c r="G65" s="14">
        <v>205.0</v>
      </c>
      <c r="H65" s="16" t="s">
        <v>214</v>
      </c>
      <c r="I65" s="30" t="str">
        <f>'⚙️ Master Threshold'!E63</f>
        <v>75</v>
      </c>
      <c r="J65" s="14" t="str">
        <f t="shared" si="11"/>
        <v>🟢 AMAN</v>
      </c>
      <c r="K65" s="13"/>
      <c r="L65" s="31" t="str">
        <f t="shared" si="12"/>
        <v/>
      </c>
      <c r="M65" s="32" t="str">
        <f t="shared" si="13"/>
        <v/>
      </c>
      <c r="N65" s="13"/>
    </row>
    <row r="66" ht="18.0" customHeight="1">
      <c r="A66" s="8">
        <v>26.0</v>
      </c>
      <c r="B66" s="9" t="s">
        <v>68</v>
      </c>
      <c r="C66" s="29">
        <v>0.0</v>
      </c>
      <c r="D66" s="29">
        <v>0.0</v>
      </c>
      <c r="E66" s="8" t="s">
        <v>173</v>
      </c>
      <c r="F66" s="19" t="str">
        <f>C66+D66-42</f>
        <v>-42</v>
      </c>
      <c r="G66" s="8">
        <v>350.0</v>
      </c>
      <c r="H66" s="10" t="s">
        <v>215</v>
      </c>
      <c r="I66" s="30" t="str">
        <f>'⚙️ Master Threshold'!E64</f>
        <v>100</v>
      </c>
      <c r="J66" s="8" t="str">
        <f t="shared" si="11"/>
        <v>🔴 KRITIS</v>
      </c>
      <c r="K66" s="13"/>
      <c r="L66" s="33" t="str">
        <f t="shared" si="12"/>
        <v>Nashville</v>
      </c>
      <c r="M66" s="34" t="str">
        <f t="shared" si="13"/>
        <v>SEGERA RESTOCK!</v>
      </c>
      <c r="N66" s="13"/>
    </row>
    <row r="67" ht="21.75" customHeight="1">
      <c r="A67" s="18" t="s">
        <v>216</v>
      </c>
      <c r="B67" s="2"/>
      <c r="C67" s="2"/>
      <c r="D67" s="2"/>
      <c r="E67" s="2"/>
      <c r="F67" s="19" t="str">
        <f>COUNTA(B6:B66)-COUNTIF(B6:B66,"")</f>
        <v>57</v>
      </c>
      <c r="G67" s="18" t="s">
        <v>217</v>
      </c>
      <c r="H67" s="2"/>
      <c r="I67" s="2"/>
      <c r="J67" s="66" t="str">
        <f>COUNTIF(J6:J66,"🔴 KRITIS")</f>
        <v>11</v>
      </c>
      <c r="K67" s="67" t="str">
        <f>COUNTIF(J6:J66,"🟠 HAMPIR HABIS")&amp;" item hampir habis"</f>
        <v>7 item hampir habis</v>
      </c>
      <c r="L67" s="2"/>
      <c r="M67" s="2"/>
      <c r="N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</sheetData>
  <autoFilter ref="$A$5:$N$67"/>
  <mergeCells count="14">
    <mergeCell ref="A1:N1"/>
    <mergeCell ref="A2:B2"/>
    <mergeCell ref="C2:D2"/>
    <mergeCell ref="E2:F2"/>
    <mergeCell ref="G2:H2"/>
    <mergeCell ref="I2:J2"/>
    <mergeCell ref="K2:N2"/>
    <mergeCell ref="A3:N3"/>
    <mergeCell ref="A4:N4"/>
    <mergeCell ref="A6:N6"/>
    <mergeCell ref="A40:N40"/>
    <mergeCell ref="A67:E67"/>
    <mergeCell ref="G67:I67"/>
    <mergeCell ref="K67:M67"/>
  </mergeCells>
  <conditionalFormatting sqref="A7:N39">
    <cfRule type="expression" dxfId="1" priority="1">
      <formula>$J7="🔴 KRITIS"</formula>
    </cfRule>
  </conditionalFormatting>
  <conditionalFormatting sqref="A7:N39">
    <cfRule type="expression" dxfId="2" priority="2">
      <formula>$J7="🟠 HAMPIR HABIS"</formula>
    </cfRule>
  </conditionalFormatting>
  <conditionalFormatting sqref="A41:N66">
    <cfRule type="expression" dxfId="1" priority="3">
      <formula>$J41="🔴 KRITIS"</formula>
    </cfRule>
  </conditionalFormatting>
  <conditionalFormatting sqref="A41:N66">
    <cfRule type="expression" dxfId="2" priority="4">
      <formula>$J41="🟠 HAMPIR HABIS"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4" width="12.0"/>
    <col customWidth="1" min="5" max="5" width="10.0"/>
    <col customWidth="1" min="6" max="6" width="14.0"/>
    <col customWidth="1" min="7" max="7" width="10.0"/>
    <col customWidth="1" min="8" max="8" width="18.0"/>
    <col customWidth="1" min="9" max="9" width="12.0"/>
    <col customWidth="1" min="10" max="10" width="14.0"/>
    <col customWidth="1" min="11" max="11" width="5.0"/>
    <col customWidth="1" min="12" max="12" width="18.0"/>
    <col customWidth="1" min="13" max="13" width="14.0"/>
    <col customWidth="1" min="14" max="14" width="5.0"/>
  </cols>
  <sheetData>
    <row r="1" ht="36.0" customHeight="1">
      <c r="A1" s="1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1.75" customHeight="1">
      <c r="A2" s="21" t="s">
        <v>150</v>
      </c>
      <c r="B2" s="22"/>
      <c r="C2" s="69">
        <v>46257.0</v>
      </c>
      <c r="D2" s="2"/>
      <c r="E2" s="21" t="s">
        <v>151</v>
      </c>
      <c r="F2" s="2"/>
      <c r="G2" s="24" t="str">
        <f>TEXT(C2,"DDDD")</f>
        <v>Sunday</v>
      </c>
      <c r="H2" s="2"/>
      <c r="I2" s="21" t="s">
        <v>152</v>
      </c>
      <c r="J2" s="2"/>
      <c r="K2" s="25" t="s">
        <v>219</v>
      </c>
      <c r="L2" s="2"/>
      <c r="M2" s="2"/>
      <c r="N2" s="2"/>
    </row>
    <row r="3" ht="18.0" customHeight="1">
      <c r="A3" s="26" t="s">
        <v>154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6.0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36.0" customHeight="1">
      <c r="A5" s="70" t="s">
        <v>2</v>
      </c>
      <c r="B5" s="70" t="s">
        <v>3</v>
      </c>
      <c r="C5" s="70" t="s">
        <v>155</v>
      </c>
      <c r="D5" s="70" t="s">
        <v>156</v>
      </c>
      <c r="E5" s="70" t="s">
        <v>157</v>
      </c>
      <c r="F5" s="70" t="s">
        <v>158</v>
      </c>
      <c r="G5" s="70" t="s">
        <v>159</v>
      </c>
      <c r="H5" s="70" t="s">
        <v>160</v>
      </c>
      <c r="I5" s="70" t="s">
        <v>161</v>
      </c>
      <c r="J5" s="70" t="s">
        <v>162</v>
      </c>
      <c r="K5" s="70"/>
      <c r="L5" s="70" t="s">
        <v>163</v>
      </c>
      <c r="M5" s="70" t="s">
        <v>164</v>
      </c>
      <c r="N5" s="70"/>
    </row>
    <row r="6" ht="19.5" customHeight="1">
      <c r="A6" s="7">
        <v>4.8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8.0" customHeight="1">
      <c r="A7" s="14">
        <v>1.0</v>
      </c>
      <c r="B7" s="15" t="s">
        <v>70</v>
      </c>
      <c r="C7" s="29">
        <v>5.0</v>
      </c>
      <c r="D7" s="71">
        <v>0.0</v>
      </c>
      <c r="E7" s="14" t="s">
        <v>166</v>
      </c>
      <c r="F7" s="36" t="str">
        <f t="shared" ref="F7:F23" si="1">C7+D7</f>
        <v>5</v>
      </c>
      <c r="G7" s="14"/>
      <c r="H7" s="16" t="s">
        <v>193</v>
      </c>
      <c r="I7" s="30" t="str">
        <f>'⚙️ Master Threshold'!E66</f>
        <v>2</v>
      </c>
      <c r="J7" s="14" t="str">
        <f t="shared" ref="J7:J23" si="2">IF(I7=0,"—",IF(F7&lt;=I7,"🔴 KRITIS",IF(F7&lt;=I7*2,"🟠 HAMPIR HABIS","🟢 AMAN")))</f>
        <v>🟢 AMAN</v>
      </c>
      <c r="K7" s="13"/>
      <c r="L7" s="31" t="str">
        <f t="shared" ref="L7:L23" si="3">IF(J7="🔴 KRITIS",B7,"")</f>
        <v/>
      </c>
      <c r="M7" s="32" t="str">
        <f t="shared" ref="M7:M23" si="4">IF(J7="🔴 KRITIS","SEGERA RESTOCK!",IF(J7="🟠 HAMPIR HABIS","Cek &amp; Restock",""))</f>
        <v/>
      </c>
      <c r="N7" s="13"/>
    </row>
    <row r="8" ht="18.0" customHeight="1">
      <c r="A8" s="8">
        <v>2.0</v>
      </c>
      <c r="B8" s="9" t="s">
        <v>72</v>
      </c>
      <c r="C8" s="29">
        <v>0.0</v>
      </c>
      <c r="D8" s="28">
        <v>2.0</v>
      </c>
      <c r="E8" s="8" t="s">
        <v>166</v>
      </c>
      <c r="F8" s="19" t="str">
        <f t="shared" si="1"/>
        <v>2</v>
      </c>
      <c r="G8" s="8"/>
      <c r="H8" s="10" t="s">
        <v>193</v>
      </c>
      <c r="I8" s="30" t="str">
        <f>'⚙️ Master Threshold'!E67</f>
        <v>1</v>
      </c>
      <c r="J8" s="8" t="str">
        <f t="shared" si="2"/>
        <v>🟠 HAMPIR HABIS</v>
      </c>
      <c r="K8" s="13"/>
      <c r="L8" s="33" t="str">
        <f t="shared" si="3"/>
        <v/>
      </c>
      <c r="M8" s="34" t="str">
        <f t="shared" si="4"/>
        <v>Cek &amp; Restock</v>
      </c>
      <c r="N8" s="13"/>
    </row>
    <row r="9" ht="18.0" customHeight="1">
      <c r="A9" s="14">
        <v>3.0</v>
      </c>
      <c r="B9" s="15" t="s">
        <v>73</v>
      </c>
      <c r="C9" s="28">
        <v>5.0</v>
      </c>
      <c r="D9" s="28">
        <v>3.7</v>
      </c>
      <c r="E9" s="14" t="s">
        <v>166</v>
      </c>
      <c r="F9" s="19" t="str">
        <f t="shared" si="1"/>
        <v>8.7</v>
      </c>
      <c r="G9" s="14"/>
      <c r="H9" s="16" t="s">
        <v>193</v>
      </c>
      <c r="I9" s="30" t="str">
        <f>'⚙️ Master Threshold'!E68</f>
        <v>2</v>
      </c>
      <c r="J9" s="14" t="str">
        <f t="shared" si="2"/>
        <v>🟢 AMAN</v>
      </c>
      <c r="K9" s="13"/>
      <c r="L9" s="31" t="str">
        <f t="shared" si="3"/>
        <v/>
      </c>
      <c r="M9" s="32" t="str">
        <f t="shared" si="4"/>
        <v/>
      </c>
      <c r="N9" s="13"/>
    </row>
    <row r="10" ht="18.0" customHeight="1">
      <c r="A10" s="8">
        <v>4.0</v>
      </c>
      <c r="B10" s="9" t="s">
        <v>74</v>
      </c>
      <c r="C10" s="29">
        <v>0.0</v>
      </c>
      <c r="D10" s="29">
        <v>2.4</v>
      </c>
      <c r="E10" s="8" t="s">
        <v>166</v>
      </c>
      <c r="F10" s="19" t="str">
        <f t="shared" si="1"/>
        <v>2.4</v>
      </c>
      <c r="G10" s="8"/>
      <c r="H10" s="10" t="s">
        <v>193</v>
      </c>
      <c r="I10" s="30" t="str">
        <f>'⚙️ Master Threshold'!E69</f>
        <v>1</v>
      </c>
      <c r="J10" s="8" t="str">
        <f t="shared" si="2"/>
        <v>🟢 AMAN</v>
      </c>
      <c r="K10" s="13"/>
      <c r="L10" s="33" t="str">
        <f t="shared" si="3"/>
        <v/>
      </c>
      <c r="M10" s="34" t="str">
        <f t="shared" si="4"/>
        <v/>
      </c>
      <c r="N10" s="13"/>
    </row>
    <row r="11" ht="18.0" customHeight="1">
      <c r="A11" s="14">
        <v>5.0</v>
      </c>
      <c r="B11" s="15" t="s">
        <v>75</v>
      </c>
      <c r="C11" s="29">
        <v>0.0</v>
      </c>
      <c r="D11" s="29">
        <v>0.0</v>
      </c>
      <c r="E11" s="14" t="s">
        <v>168</v>
      </c>
      <c r="F11" s="19" t="str">
        <f t="shared" si="1"/>
        <v>0</v>
      </c>
      <c r="G11" s="14"/>
      <c r="H11" s="16" t="s">
        <v>193</v>
      </c>
      <c r="I11" s="30" t="str">
        <f>'⚙️ Master Threshold'!E70</f>
        <v>5</v>
      </c>
      <c r="J11" s="14" t="str">
        <f t="shared" si="2"/>
        <v>🔴 KRITIS</v>
      </c>
      <c r="K11" s="13"/>
      <c r="L11" s="31" t="str">
        <f t="shared" si="3"/>
        <v>Ayam Ekor</v>
      </c>
      <c r="M11" s="32" t="str">
        <f t="shared" si="4"/>
        <v>SEGERA RESTOCK!</v>
      </c>
      <c r="N11" s="13"/>
    </row>
    <row r="12" ht="18.0" customHeight="1">
      <c r="A12" s="8">
        <v>6.0</v>
      </c>
      <c r="B12" s="9" t="s">
        <v>76</v>
      </c>
      <c r="C12" s="29">
        <v>0.0</v>
      </c>
      <c r="D12" s="29">
        <v>0.0</v>
      </c>
      <c r="E12" s="8" t="s">
        <v>166</v>
      </c>
      <c r="F12" s="19" t="str">
        <f t="shared" si="1"/>
        <v>0</v>
      </c>
      <c r="G12" s="8"/>
      <c r="H12" s="10" t="s">
        <v>193</v>
      </c>
      <c r="I12" s="30" t="str">
        <f>'⚙️ Master Threshold'!E71</f>
        <v>2</v>
      </c>
      <c r="J12" s="8" t="str">
        <f t="shared" si="2"/>
        <v>🔴 KRITIS</v>
      </c>
      <c r="K12" s="13"/>
      <c r="L12" s="33" t="str">
        <f t="shared" si="3"/>
        <v>Reguler Lama</v>
      </c>
      <c r="M12" s="34" t="str">
        <f t="shared" si="4"/>
        <v>SEGERA RESTOCK!</v>
      </c>
      <c r="N12" s="13"/>
    </row>
    <row r="13" ht="18.0" customHeight="1">
      <c r="A13" s="14">
        <v>7.0</v>
      </c>
      <c r="B13" s="15" t="s">
        <v>77</v>
      </c>
      <c r="C13" s="29">
        <v>0.0</v>
      </c>
      <c r="D13" s="29">
        <v>0.0</v>
      </c>
      <c r="E13" s="14" t="s">
        <v>166</v>
      </c>
      <c r="F13" s="19" t="str">
        <f t="shared" si="1"/>
        <v>0</v>
      </c>
      <c r="G13" s="14"/>
      <c r="H13" s="16" t="s">
        <v>193</v>
      </c>
      <c r="I13" s="30" t="str">
        <f>'⚙️ Master Threshold'!E72</f>
        <v>2</v>
      </c>
      <c r="J13" s="14" t="str">
        <f t="shared" si="2"/>
        <v>🔴 KRITIS</v>
      </c>
      <c r="K13" s="13"/>
      <c r="L13" s="31" t="str">
        <f t="shared" si="3"/>
        <v>Reguler Baru</v>
      </c>
      <c r="M13" s="32" t="str">
        <f t="shared" si="4"/>
        <v>SEGERA RESTOCK!</v>
      </c>
      <c r="N13" s="13"/>
    </row>
    <row r="14">
      <c r="A14" s="8">
        <v>8.0</v>
      </c>
      <c r="B14" s="9" t="s">
        <v>78</v>
      </c>
      <c r="C14" s="28">
        <v>1.0</v>
      </c>
      <c r="D14" s="28">
        <v>0.4</v>
      </c>
      <c r="E14" s="8" t="s">
        <v>220</v>
      </c>
      <c r="F14" s="72" t="str">
        <f t="shared" si="1"/>
        <v>12/31</v>
      </c>
      <c r="G14" s="8"/>
      <c r="H14" s="10" t="s">
        <v>193</v>
      </c>
      <c r="I14" s="30" t="str">
        <f>'⚙️ Master Threshold'!E73</f>
        <v>0.5</v>
      </c>
      <c r="J14" s="8" t="str">
        <f t="shared" si="2"/>
        <v>🟢 AMAN</v>
      </c>
      <c r="K14" s="13"/>
      <c r="L14" s="33" t="str">
        <f t="shared" si="3"/>
        <v/>
      </c>
      <c r="M14" s="34" t="str">
        <f t="shared" si="4"/>
        <v/>
      </c>
      <c r="N14" s="13"/>
    </row>
    <row r="15" ht="18.0" customHeight="1">
      <c r="A15" s="14">
        <v>9.0</v>
      </c>
      <c r="B15" s="15" t="s">
        <v>79</v>
      </c>
      <c r="C15" s="28">
        <v>1.0</v>
      </c>
      <c r="D15" s="28">
        <v>11.0</v>
      </c>
      <c r="E15" s="14" t="s">
        <v>168</v>
      </c>
      <c r="F15" s="19" t="str">
        <f t="shared" si="1"/>
        <v>12</v>
      </c>
      <c r="G15" s="14"/>
      <c r="H15" s="16" t="s">
        <v>193</v>
      </c>
      <c r="I15" s="30" t="str">
        <f>'⚙️ Master Threshold'!E74</f>
        <v>3</v>
      </c>
      <c r="J15" s="14" t="str">
        <f t="shared" si="2"/>
        <v>🟢 AMAN</v>
      </c>
      <c r="K15" s="13"/>
      <c r="L15" s="31" t="str">
        <f t="shared" si="3"/>
        <v/>
      </c>
      <c r="M15" s="32" t="str">
        <f t="shared" si="4"/>
        <v/>
      </c>
      <c r="N15" s="13"/>
    </row>
    <row r="16" ht="18.0" customHeight="1">
      <c r="A16" s="8">
        <v>10.0</v>
      </c>
      <c r="B16" s="9" t="s">
        <v>80</v>
      </c>
      <c r="C16" s="29">
        <v>0.0</v>
      </c>
      <c r="D16" s="29">
        <v>2.0</v>
      </c>
      <c r="E16" s="8" t="s">
        <v>168</v>
      </c>
      <c r="F16" s="19" t="str">
        <f t="shared" si="1"/>
        <v>2</v>
      </c>
      <c r="G16" s="8"/>
      <c r="H16" s="10" t="s">
        <v>193</v>
      </c>
      <c r="I16" s="30" t="str">
        <f>'⚙️ Master Threshold'!E75</f>
        <v>3</v>
      </c>
      <c r="J16" s="8" t="str">
        <f t="shared" si="2"/>
        <v>🔴 KRITIS</v>
      </c>
      <c r="K16" s="13"/>
      <c r="L16" s="33" t="str">
        <f t="shared" si="3"/>
        <v>Corndog Moza+Sosis</v>
      </c>
      <c r="M16" s="34" t="str">
        <f t="shared" si="4"/>
        <v>SEGERA RESTOCK!</v>
      </c>
      <c r="N16" s="13"/>
    </row>
    <row r="17" ht="18.0" customHeight="1">
      <c r="A17" s="14">
        <v>11.0</v>
      </c>
      <c r="B17" s="15" t="s">
        <v>81</v>
      </c>
      <c r="C17" s="29">
        <v>0.0</v>
      </c>
      <c r="D17" s="29">
        <v>4.0</v>
      </c>
      <c r="E17" s="14" t="s">
        <v>168</v>
      </c>
      <c r="F17" s="19" t="str">
        <f t="shared" si="1"/>
        <v>4</v>
      </c>
      <c r="G17" s="14"/>
      <c r="H17" s="16" t="s">
        <v>193</v>
      </c>
      <c r="I17" s="30" t="str">
        <f>'⚙️ Master Threshold'!E76</f>
        <v>3</v>
      </c>
      <c r="J17" s="14" t="str">
        <f t="shared" si="2"/>
        <v>🟠 HAMPIR HABIS</v>
      </c>
      <c r="K17" s="13"/>
      <c r="L17" s="31" t="str">
        <f t="shared" si="3"/>
        <v/>
      </c>
      <c r="M17" s="32" t="str">
        <f t="shared" si="4"/>
        <v>Cek &amp; Restock</v>
      </c>
      <c r="N17" s="13"/>
    </row>
    <row r="18" ht="18.0" customHeight="1">
      <c r="A18" s="8">
        <v>12.0</v>
      </c>
      <c r="B18" s="9" t="s">
        <v>82</v>
      </c>
      <c r="C18" s="29">
        <v>0.0</v>
      </c>
      <c r="D18" s="28">
        <v>0.0</v>
      </c>
      <c r="E18" s="8" t="s">
        <v>221</v>
      </c>
      <c r="F18" s="19" t="str">
        <f t="shared" si="1"/>
        <v>0</v>
      </c>
      <c r="G18" s="8">
        <v>2.0</v>
      </c>
      <c r="H18" s="10" t="s">
        <v>222</v>
      </c>
      <c r="I18" s="30" t="str">
        <f>'⚙️ Master Threshold'!E77</f>
        <v>5</v>
      </c>
      <c r="J18" s="8" t="str">
        <f t="shared" si="2"/>
        <v>🔴 KRITIS</v>
      </c>
      <c r="K18" s="13"/>
      <c r="L18" s="33" t="str">
        <f t="shared" si="3"/>
        <v>Odeng (porsi)</v>
      </c>
      <c r="M18" s="34" t="str">
        <f t="shared" si="4"/>
        <v>SEGERA RESTOCK!</v>
      </c>
      <c r="N18" s="13"/>
    </row>
    <row r="19" ht="18.0" customHeight="1">
      <c r="A19" s="14">
        <v>13.0</v>
      </c>
      <c r="B19" s="15" t="s">
        <v>83</v>
      </c>
      <c r="C19" s="29">
        <v>15.0</v>
      </c>
      <c r="D19" s="28">
        <v>1.0</v>
      </c>
      <c r="E19" s="14" t="s">
        <v>168</v>
      </c>
      <c r="F19" s="19" t="str">
        <f t="shared" si="1"/>
        <v>16</v>
      </c>
      <c r="G19" s="14"/>
      <c r="H19" s="16" t="s">
        <v>193</v>
      </c>
      <c r="I19" s="30" t="str">
        <f>'⚙️ Master Threshold'!E78</f>
        <v>5</v>
      </c>
      <c r="J19" s="14" t="str">
        <f t="shared" si="2"/>
        <v>🟢 AMAN</v>
      </c>
      <c r="K19" s="13"/>
      <c r="L19" s="31" t="str">
        <f t="shared" si="3"/>
        <v/>
      </c>
      <c r="M19" s="32" t="str">
        <f t="shared" si="4"/>
        <v/>
      </c>
      <c r="N19" s="13"/>
    </row>
    <row r="20" ht="18.0" customHeight="1">
      <c r="A20" s="8">
        <v>14.0</v>
      </c>
      <c r="B20" s="9" t="s">
        <v>84</v>
      </c>
      <c r="C20" s="29" t="str">
        <f>(8*6)+5</f>
        <v>53</v>
      </c>
      <c r="D20" s="29">
        <v>14.0</v>
      </c>
      <c r="E20" s="8" t="s">
        <v>168</v>
      </c>
      <c r="F20" s="19" t="str">
        <f t="shared" si="1"/>
        <v>67</v>
      </c>
      <c r="G20" s="8"/>
      <c r="H20" s="10" t="s">
        <v>193</v>
      </c>
      <c r="I20" s="30" t="str">
        <f>'⚙️ Master Threshold'!E79</f>
        <v>5</v>
      </c>
      <c r="J20" s="8" t="str">
        <f t="shared" si="2"/>
        <v>🟢 AMAN</v>
      </c>
      <c r="K20" s="13"/>
      <c r="L20" s="33" t="str">
        <f t="shared" si="3"/>
        <v/>
      </c>
      <c r="M20" s="34" t="str">
        <f t="shared" si="4"/>
        <v/>
      </c>
      <c r="N20" s="13"/>
    </row>
    <row r="21" ht="18.0" customHeight="1">
      <c r="A21" s="14">
        <v>15.0</v>
      </c>
      <c r="B21" s="15" t="s">
        <v>85</v>
      </c>
      <c r="C21" s="29">
        <v>12.0</v>
      </c>
      <c r="D21" s="29">
        <v>7.0</v>
      </c>
      <c r="E21" s="14" t="s">
        <v>168</v>
      </c>
      <c r="F21" s="19" t="str">
        <f t="shared" si="1"/>
        <v>19</v>
      </c>
      <c r="G21" s="14"/>
      <c r="H21" s="16" t="s">
        <v>193</v>
      </c>
      <c r="I21" s="30" t="str">
        <f>'⚙️ Master Threshold'!E80</f>
        <v>5</v>
      </c>
      <c r="J21" s="14" t="str">
        <f t="shared" si="2"/>
        <v>🟢 AMAN</v>
      </c>
      <c r="K21" s="13"/>
      <c r="L21" s="31" t="str">
        <f t="shared" si="3"/>
        <v/>
      </c>
      <c r="M21" s="32" t="str">
        <f t="shared" si="4"/>
        <v/>
      </c>
      <c r="N21" s="13"/>
    </row>
    <row r="22" ht="18.0" customHeight="1">
      <c r="A22" s="8">
        <v>16.0</v>
      </c>
      <c r="B22" s="9" t="s">
        <v>86</v>
      </c>
      <c r="C22" s="29">
        <v>12.0</v>
      </c>
      <c r="D22" s="29">
        <v>0.0</v>
      </c>
      <c r="E22" s="8" t="s">
        <v>186</v>
      </c>
      <c r="F22" s="19" t="str">
        <f t="shared" si="1"/>
        <v>12</v>
      </c>
      <c r="G22" s="8">
        <v>30.0</v>
      </c>
      <c r="H22" s="10" t="s">
        <v>223</v>
      </c>
      <c r="I22" s="30" t="str">
        <f>'⚙️ Master Threshold'!E81</f>
        <v>1</v>
      </c>
      <c r="J22" s="8" t="str">
        <f t="shared" si="2"/>
        <v>🟢 AMAN</v>
      </c>
      <c r="K22" s="13"/>
      <c r="L22" s="33" t="str">
        <f t="shared" si="3"/>
        <v/>
      </c>
      <c r="M22" s="34" t="str">
        <f t="shared" si="4"/>
        <v/>
      </c>
      <c r="N22" s="13"/>
    </row>
    <row r="23" ht="18.0" customHeight="1">
      <c r="A23" s="14">
        <v>17.0</v>
      </c>
      <c r="B23" s="15" t="s">
        <v>87</v>
      </c>
      <c r="C23" s="29">
        <v>0.0</v>
      </c>
      <c r="D23" s="29">
        <v>0.0</v>
      </c>
      <c r="E23" s="14" t="s">
        <v>168</v>
      </c>
      <c r="F23" s="19" t="str">
        <f t="shared" si="1"/>
        <v>0</v>
      </c>
      <c r="G23" s="14"/>
      <c r="H23" s="16" t="s">
        <v>193</v>
      </c>
      <c r="I23" s="30" t="str">
        <f>'⚙️ Master Threshold'!E82</f>
        <v>5</v>
      </c>
      <c r="J23" s="14" t="str">
        <f t="shared" si="2"/>
        <v>🔴 KRITIS</v>
      </c>
      <c r="K23" s="13"/>
      <c r="L23" s="31" t="str">
        <f t="shared" si="3"/>
        <v>Ayam Katsu</v>
      </c>
      <c r="M23" s="32" t="str">
        <f t="shared" si="4"/>
        <v>SEGERA RESTOCK!</v>
      </c>
      <c r="N23" s="13"/>
    </row>
    <row r="24" ht="19.5" customHeight="1">
      <c r="A24" s="7" t="s">
        <v>224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18.0" customHeight="1">
      <c r="A25" s="14">
        <v>1.0</v>
      </c>
      <c r="B25" s="15" t="s">
        <v>88</v>
      </c>
      <c r="C25" s="29">
        <v>0.0</v>
      </c>
      <c r="D25" s="29">
        <v>0.4</v>
      </c>
      <c r="E25" s="14" t="s">
        <v>225</v>
      </c>
      <c r="F25" s="19" t="str">
        <f t="shared" ref="F25:F37" si="5">C25+D25</f>
        <v>0.4</v>
      </c>
      <c r="G25" s="14"/>
      <c r="H25" s="16" t="s">
        <v>193</v>
      </c>
      <c r="I25" s="30" t="str">
        <f>'⚙️ Master Threshold'!E83</f>
        <v>1</v>
      </c>
      <c r="J25" s="14" t="str">
        <f t="shared" ref="J25:J37" si="6">IF(I25=0,"—",IF(F25&lt;=I25,"🔴 KRITIS",IF(F25&lt;=I25*2,"🟠 HAMPIR HABIS","🟢 AMAN")))</f>
        <v>🔴 KRITIS</v>
      </c>
      <c r="K25" s="13"/>
      <c r="L25" s="31" t="str">
        <f t="shared" ref="L25:L37" si="7">IF(J25="🔴 KRITIS",B25,"")</f>
        <v>Cling Pembersih</v>
      </c>
      <c r="M25" s="32" t="str">
        <f t="shared" ref="M25:M37" si="8">IF(J25="🔴 KRITIS","SEGERA RESTOCK!",IF(J25="🟠 HAMPIR HABIS","Cek &amp; Restock",""))</f>
        <v>SEGERA RESTOCK!</v>
      </c>
      <c r="N25" s="13"/>
    </row>
    <row r="26" ht="18.0" customHeight="1">
      <c r="A26" s="8">
        <v>2.0</v>
      </c>
      <c r="B26" s="9" t="s">
        <v>89</v>
      </c>
      <c r="C26" s="29">
        <v>0.0</v>
      </c>
      <c r="D26" s="28">
        <v>0.4</v>
      </c>
      <c r="E26" s="8" t="s">
        <v>226</v>
      </c>
      <c r="F26" s="19" t="str">
        <f t="shared" si="5"/>
        <v>0.4</v>
      </c>
      <c r="G26" s="8"/>
      <c r="H26" s="10" t="s">
        <v>193</v>
      </c>
      <c r="I26" s="30" t="str">
        <f>'⚙️ Master Threshold'!E84</f>
        <v>1</v>
      </c>
      <c r="J26" s="8" t="str">
        <f t="shared" si="6"/>
        <v>🔴 KRITIS</v>
      </c>
      <c r="K26" s="13"/>
      <c r="L26" s="33" t="str">
        <f t="shared" si="7"/>
        <v>Sabun Cuci Piring</v>
      </c>
      <c r="M26" s="34" t="str">
        <f t="shared" si="8"/>
        <v>SEGERA RESTOCK!</v>
      </c>
      <c r="N26" s="13"/>
    </row>
    <row r="27" ht="18.0" customHeight="1">
      <c r="A27" s="14">
        <v>3.0</v>
      </c>
      <c r="B27" s="15" t="s">
        <v>90</v>
      </c>
      <c r="C27" s="29">
        <v>0.0</v>
      </c>
      <c r="D27" s="29">
        <v>0.3</v>
      </c>
      <c r="E27" s="14" t="s">
        <v>226</v>
      </c>
      <c r="F27" s="19" t="str">
        <f t="shared" si="5"/>
        <v>0.3</v>
      </c>
      <c r="G27" s="14"/>
      <c r="H27" s="16" t="s">
        <v>193</v>
      </c>
      <c r="I27" s="30" t="str">
        <f>'⚙️ Master Threshold'!E85</f>
        <v>1</v>
      </c>
      <c r="J27" s="14" t="str">
        <f t="shared" si="6"/>
        <v>🔴 KRITIS</v>
      </c>
      <c r="K27" s="13"/>
      <c r="L27" s="31" t="str">
        <f t="shared" si="7"/>
        <v>S.O.S Karbol</v>
      </c>
      <c r="M27" s="32" t="str">
        <f t="shared" si="8"/>
        <v>SEGERA RESTOCK!</v>
      </c>
      <c r="N27" s="13"/>
    </row>
    <row r="28" ht="18.0" customHeight="1">
      <c r="A28" s="8">
        <v>4.0</v>
      </c>
      <c r="B28" s="9" t="s">
        <v>91</v>
      </c>
      <c r="C28" s="29">
        <v>0.0</v>
      </c>
      <c r="D28" s="29">
        <v>0.0</v>
      </c>
      <c r="E28" s="8" t="s">
        <v>227</v>
      </c>
      <c r="F28" s="19" t="str">
        <f t="shared" si="5"/>
        <v>0</v>
      </c>
      <c r="G28" s="8"/>
      <c r="H28" s="10" t="s">
        <v>193</v>
      </c>
      <c r="I28" s="30" t="str">
        <f>'⚙️ Master Threshold'!E86</f>
        <v>1</v>
      </c>
      <c r="J28" s="8" t="str">
        <f t="shared" si="6"/>
        <v>🔴 KRITIS</v>
      </c>
      <c r="K28" s="13"/>
      <c r="L28" s="33" t="str">
        <f t="shared" si="7"/>
        <v>Vixal</v>
      </c>
      <c r="M28" s="34" t="str">
        <f t="shared" si="8"/>
        <v>SEGERA RESTOCK!</v>
      </c>
      <c r="N28" s="13"/>
    </row>
    <row r="29" ht="18.0" customHeight="1">
      <c r="A29" s="14">
        <v>5.0</v>
      </c>
      <c r="B29" s="15" t="s">
        <v>92</v>
      </c>
      <c r="C29" s="29">
        <v>0.0</v>
      </c>
      <c r="D29" s="28">
        <v>0.0</v>
      </c>
      <c r="E29" s="14" t="s">
        <v>168</v>
      </c>
      <c r="F29" s="19" t="str">
        <f t="shared" si="5"/>
        <v>0</v>
      </c>
      <c r="G29" s="14"/>
      <c r="H29" s="16" t="s">
        <v>193</v>
      </c>
      <c r="I29" s="30" t="str">
        <f>'⚙️ Master Threshold'!E87</f>
        <v>5</v>
      </c>
      <c r="J29" s="14" t="str">
        <f t="shared" si="6"/>
        <v>🔴 KRITIS</v>
      </c>
      <c r="K29" s="13"/>
      <c r="L29" s="31" t="str">
        <f t="shared" si="7"/>
        <v>Sendok</v>
      </c>
      <c r="M29" s="32" t="str">
        <f t="shared" si="8"/>
        <v>SEGERA RESTOCK!</v>
      </c>
      <c r="N29" s="13"/>
    </row>
    <row r="30" ht="18.0" customHeight="1">
      <c r="A30" s="8">
        <v>6.0</v>
      </c>
      <c r="B30" s="9" t="s">
        <v>93</v>
      </c>
      <c r="C30" s="29">
        <v>0.0</v>
      </c>
      <c r="D30" s="29">
        <v>11.0</v>
      </c>
      <c r="E30" s="8" t="s">
        <v>168</v>
      </c>
      <c r="F30" s="19" t="str">
        <f t="shared" si="5"/>
        <v>11</v>
      </c>
      <c r="G30" s="8"/>
      <c r="H30" s="10" t="s">
        <v>193</v>
      </c>
      <c r="I30" s="30" t="str">
        <f>'⚙️ Master Threshold'!E88</f>
        <v>3</v>
      </c>
      <c r="J30" s="8" t="str">
        <f t="shared" si="6"/>
        <v>🟢 AMAN</v>
      </c>
      <c r="K30" s="13"/>
      <c r="L30" s="33" t="str">
        <f t="shared" si="7"/>
        <v/>
      </c>
      <c r="M30" s="34" t="str">
        <f t="shared" si="8"/>
        <v/>
      </c>
      <c r="N30" s="13"/>
    </row>
    <row r="31" ht="18.0" customHeight="1">
      <c r="A31" s="14">
        <v>7.0</v>
      </c>
      <c r="B31" s="15" t="s">
        <v>94</v>
      </c>
      <c r="C31" s="29">
        <v>0.0</v>
      </c>
      <c r="D31" s="29">
        <v>2.0</v>
      </c>
      <c r="E31" s="14" t="s">
        <v>168</v>
      </c>
      <c r="F31" s="19" t="str">
        <f t="shared" si="5"/>
        <v>2</v>
      </c>
      <c r="G31" s="14"/>
      <c r="H31" s="16" t="s">
        <v>193</v>
      </c>
      <c r="I31" s="30" t="str">
        <f>'⚙️ Master Threshold'!E89</f>
        <v>3</v>
      </c>
      <c r="J31" s="14" t="str">
        <f t="shared" si="6"/>
        <v>🔴 KRITIS</v>
      </c>
      <c r="K31" s="13"/>
      <c r="L31" s="31" t="str">
        <f t="shared" si="7"/>
        <v>Piring Stainless</v>
      </c>
      <c r="M31" s="32" t="str">
        <f t="shared" si="8"/>
        <v>SEGERA RESTOCK!</v>
      </c>
      <c r="N31" s="13"/>
    </row>
    <row r="32" ht="18.0" customHeight="1">
      <c r="A32" s="8">
        <v>8.0</v>
      </c>
      <c r="B32" s="9" t="s">
        <v>95</v>
      </c>
      <c r="C32" s="29">
        <v>0.0</v>
      </c>
      <c r="D32" s="29">
        <v>3.0</v>
      </c>
      <c r="E32" s="8" t="s">
        <v>168</v>
      </c>
      <c r="F32" s="19" t="str">
        <f t="shared" si="5"/>
        <v>3</v>
      </c>
      <c r="G32" s="8"/>
      <c r="H32" s="10" t="s">
        <v>193</v>
      </c>
      <c r="I32" s="30" t="str">
        <f>'⚙️ Master Threshold'!E90</f>
        <v>3</v>
      </c>
      <c r="J32" s="8" t="str">
        <f t="shared" si="6"/>
        <v>🔴 KRITIS</v>
      </c>
      <c r="K32" s="13"/>
      <c r="L32" s="33" t="str">
        <f t="shared" si="7"/>
        <v>Piring Plastik</v>
      </c>
      <c r="M32" s="34" t="str">
        <f t="shared" si="8"/>
        <v>SEGERA RESTOCK!</v>
      </c>
      <c r="N32" s="13"/>
    </row>
    <row r="33" ht="18.0" customHeight="1">
      <c r="A33" s="14">
        <v>9.0</v>
      </c>
      <c r="B33" s="15" t="s">
        <v>96</v>
      </c>
      <c r="C33" s="29">
        <v>0.0</v>
      </c>
      <c r="D33" s="29">
        <v>2.0</v>
      </c>
      <c r="E33" s="14" t="s">
        <v>168</v>
      </c>
      <c r="F33" s="19" t="str">
        <f t="shared" si="5"/>
        <v>2</v>
      </c>
      <c r="G33" s="14"/>
      <c r="H33" s="16" t="s">
        <v>193</v>
      </c>
      <c r="I33" s="30" t="str">
        <f>'⚙️ Master Threshold'!E91</f>
        <v>2</v>
      </c>
      <c r="J33" s="14" t="str">
        <f t="shared" si="6"/>
        <v>🔴 KRITIS</v>
      </c>
      <c r="K33" s="13"/>
      <c r="L33" s="31" t="str">
        <f t="shared" si="7"/>
        <v>Keranjang Kotak Hitam Besi</v>
      </c>
      <c r="M33" s="32" t="str">
        <f t="shared" si="8"/>
        <v>SEGERA RESTOCK!</v>
      </c>
      <c r="N33" s="13"/>
    </row>
    <row r="34" ht="18.0" customHeight="1">
      <c r="A34" s="8">
        <v>10.0</v>
      </c>
      <c r="B34" s="9" t="s">
        <v>97</v>
      </c>
      <c r="C34" s="29">
        <v>0.0</v>
      </c>
      <c r="D34" s="29">
        <v>1.0</v>
      </c>
      <c r="E34" s="8" t="s">
        <v>168</v>
      </c>
      <c r="F34" s="19" t="str">
        <f t="shared" si="5"/>
        <v>1</v>
      </c>
      <c r="G34" s="8"/>
      <c r="H34" s="10" t="s">
        <v>193</v>
      </c>
      <c r="I34" s="30" t="str">
        <f>'⚙️ Master Threshold'!E92</f>
        <v>2</v>
      </c>
      <c r="J34" s="8" t="str">
        <f t="shared" si="6"/>
        <v>🔴 KRITIS</v>
      </c>
      <c r="K34" s="13"/>
      <c r="L34" s="33" t="str">
        <f t="shared" si="7"/>
        <v>Keranjang Bulat Hitam Besi</v>
      </c>
      <c r="M34" s="34" t="str">
        <f t="shared" si="8"/>
        <v>SEGERA RESTOCK!</v>
      </c>
      <c r="N34" s="13"/>
    </row>
    <row r="35" ht="18.0" customHeight="1">
      <c r="A35" s="14">
        <v>11.0</v>
      </c>
      <c r="B35" s="15" t="s">
        <v>98</v>
      </c>
      <c r="C35" s="29">
        <v>0.0</v>
      </c>
      <c r="D35" s="29">
        <v>5.0</v>
      </c>
      <c r="E35" s="14" t="s">
        <v>168</v>
      </c>
      <c r="F35" s="19" t="str">
        <f t="shared" si="5"/>
        <v>5</v>
      </c>
      <c r="G35" s="14"/>
      <c r="H35" s="16" t="s">
        <v>193</v>
      </c>
      <c r="I35" s="30" t="str">
        <f>'⚙️ Master Threshold'!E93</f>
        <v>2</v>
      </c>
      <c r="J35" s="14" t="str">
        <f t="shared" si="6"/>
        <v>🟢 AMAN</v>
      </c>
      <c r="K35" s="13"/>
      <c r="L35" s="31" t="str">
        <f t="shared" si="7"/>
        <v/>
      </c>
      <c r="M35" s="32" t="str">
        <f t="shared" si="8"/>
        <v/>
      </c>
      <c r="N35" s="13"/>
    </row>
    <row r="36" ht="18.0" customHeight="1">
      <c r="A36" s="8">
        <v>12.0</v>
      </c>
      <c r="B36" s="9" t="s">
        <v>99</v>
      </c>
      <c r="C36" s="29">
        <v>0.0</v>
      </c>
      <c r="D36" s="29">
        <v>3.0</v>
      </c>
      <c r="E36" s="8" t="s">
        <v>168</v>
      </c>
      <c r="F36" s="19" t="str">
        <f t="shared" si="5"/>
        <v>3</v>
      </c>
      <c r="G36" s="8"/>
      <c r="H36" s="10" t="s">
        <v>193</v>
      </c>
      <c r="I36" s="30" t="str">
        <f>'⚙️ Master Threshold'!E94</f>
        <v>2</v>
      </c>
      <c r="J36" s="8" t="str">
        <f t="shared" si="6"/>
        <v>🟠 HAMPIR HABIS</v>
      </c>
      <c r="K36" s="13"/>
      <c r="L36" s="33" t="str">
        <f t="shared" si="7"/>
        <v/>
      </c>
      <c r="M36" s="34" t="str">
        <f t="shared" si="8"/>
        <v>Cek &amp; Restock</v>
      </c>
      <c r="N36" s="13"/>
    </row>
    <row r="37" ht="18.0" customHeight="1">
      <c r="A37" s="14">
        <v>13.0</v>
      </c>
      <c r="B37" s="15" t="s">
        <v>100</v>
      </c>
      <c r="C37" s="29">
        <v>0.0</v>
      </c>
      <c r="D37" s="29">
        <v>8.0</v>
      </c>
      <c r="E37" s="14" t="s">
        <v>168</v>
      </c>
      <c r="F37" s="19" t="str">
        <f t="shared" si="5"/>
        <v>8</v>
      </c>
      <c r="G37" s="14"/>
      <c r="H37" s="16" t="s">
        <v>193</v>
      </c>
      <c r="I37" s="30" t="str">
        <f>'⚙️ Master Threshold'!E95</f>
        <v>5</v>
      </c>
      <c r="J37" s="14" t="str">
        <f t="shared" si="6"/>
        <v>🟠 HAMPIR HABIS</v>
      </c>
      <c r="K37" s="13"/>
      <c r="L37" s="31" t="str">
        <f t="shared" si="7"/>
        <v/>
      </c>
      <c r="M37" s="32" t="str">
        <f t="shared" si="8"/>
        <v>Cek &amp; Restock</v>
      </c>
      <c r="N37" s="13"/>
    </row>
    <row r="38" ht="21.75" customHeight="1">
      <c r="A38" s="18" t="s">
        <v>228</v>
      </c>
      <c r="B38" s="2"/>
      <c r="C38" s="2"/>
      <c r="D38" s="2"/>
      <c r="E38" s="2"/>
      <c r="F38" s="19" t="str">
        <f>COUNTA(B6:B37)-COUNTIF(B6:B37,"")</f>
        <v>28</v>
      </c>
      <c r="G38" s="18" t="s">
        <v>217</v>
      </c>
      <c r="H38" s="2"/>
      <c r="I38" s="2"/>
      <c r="J38" s="66" t="str">
        <f>COUNTIF(J6:J37,"🔴 KRITIS")</f>
        <v>15</v>
      </c>
      <c r="K38" s="67" t="str">
        <f>COUNTIF(J6:J37,"🟠 HAMPIR HABIS")&amp;" item hampir habis"</f>
        <v>4 item hampir habis</v>
      </c>
      <c r="L38" s="2"/>
      <c r="M38" s="2"/>
      <c r="N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</sheetData>
  <autoFilter ref="$A$5:$N$38"/>
  <mergeCells count="14">
    <mergeCell ref="A1:N1"/>
    <mergeCell ref="A2:B2"/>
    <mergeCell ref="C2:D2"/>
    <mergeCell ref="E2:F2"/>
    <mergeCell ref="G2:H2"/>
    <mergeCell ref="I2:J2"/>
    <mergeCell ref="K2:N2"/>
    <mergeCell ref="A3:N3"/>
    <mergeCell ref="A4:N4"/>
    <mergeCell ref="A6:N6"/>
    <mergeCell ref="A24:N24"/>
    <mergeCell ref="A38:E38"/>
    <mergeCell ref="G38:I38"/>
    <mergeCell ref="K38:M38"/>
  </mergeCells>
  <conditionalFormatting sqref="A7:N23">
    <cfRule type="expression" dxfId="1" priority="1">
      <formula>$J7="🔴 KRITIS"</formula>
    </cfRule>
  </conditionalFormatting>
  <conditionalFormatting sqref="A7:N23">
    <cfRule type="expression" dxfId="2" priority="2">
      <formula>$J7="🟠 HAMPIR HABIS"</formula>
    </cfRule>
  </conditionalFormatting>
  <conditionalFormatting sqref="A25:N37">
    <cfRule type="expression" dxfId="1" priority="3">
      <formula>$J25="🔴 KRITIS"</formula>
    </cfRule>
  </conditionalFormatting>
  <conditionalFormatting sqref="A25:N37">
    <cfRule type="expression" dxfId="2" priority="4">
      <formula>$J25="🟠 HAMPIR HABIS"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4" width="12.0"/>
    <col customWidth="1" min="5" max="5" width="10.0"/>
    <col customWidth="1" min="6" max="6" width="14.0"/>
    <col customWidth="1" min="7" max="7" width="10.0"/>
    <col customWidth="1" min="8" max="8" width="18.0"/>
    <col customWidth="1" min="9" max="9" width="12.0"/>
    <col customWidth="1" min="10" max="10" width="14.0"/>
    <col customWidth="1" min="11" max="11" width="5.0"/>
    <col customWidth="1" min="12" max="12" width="18.0"/>
    <col customWidth="1" min="13" max="13" width="14.0"/>
    <col customWidth="1" min="14" max="14" width="5.0"/>
  </cols>
  <sheetData>
    <row r="1" ht="36.0" customHeight="1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1.75" customHeight="1">
      <c r="A2" s="21" t="s">
        <v>150</v>
      </c>
      <c r="B2" s="22"/>
      <c r="C2" s="69">
        <v>46257.0</v>
      </c>
      <c r="D2" s="2"/>
      <c r="E2" s="21" t="s">
        <v>151</v>
      </c>
      <c r="F2" s="2"/>
      <c r="G2" s="24" t="str">
        <f>TEXT(C2,"DDDD")</f>
        <v>Sunday</v>
      </c>
      <c r="H2" s="2"/>
      <c r="I2" s="21" t="s">
        <v>152</v>
      </c>
      <c r="J2" s="2"/>
      <c r="K2" s="25" t="s">
        <v>219</v>
      </c>
      <c r="L2" s="2"/>
      <c r="M2" s="2"/>
      <c r="N2" s="2"/>
    </row>
    <row r="3" ht="18.0" customHeight="1">
      <c r="A3" s="26" t="s">
        <v>230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6.0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36.0" customHeight="1">
      <c r="A5" s="70" t="s">
        <v>2</v>
      </c>
      <c r="B5" s="70" t="s">
        <v>3</v>
      </c>
      <c r="C5" s="70" t="s">
        <v>155</v>
      </c>
      <c r="D5" s="70" t="s">
        <v>156</v>
      </c>
      <c r="E5" s="70" t="s">
        <v>157</v>
      </c>
      <c r="F5" s="70" t="s">
        <v>158</v>
      </c>
      <c r="G5" s="70" t="s">
        <v>159</v>
      </c>
      <c r="H5" s="70" t="s">
        <v>160</v>
      </c>
      <c r="I5" s="70" t="s">
        <v>161</v>
      </c>
      <c r="J5" s="70" t="s">
        <v>162</v>
      </c>
      <c r="K5" s="70"/>
      <c r="L5" s="70" t="s">
        <v>163</v>
      </c>
      <c r="M5" s="70" t="s">
        <v>164</v>
      </c>
      <c r="N5" s="70"/>
    </row>
    <row r="6" ht="19.5" customHeight="1">
      <c r="A6" s="7" t="s">
        <v>231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8.0" customHeight="1">
      <c r="A7" s="14">
        <v>1.0</v>
      </c>
      <c r="B7" s="15" t="s">
        <v>102</v>
      </c>
      <c r="C7" s="29">
        <v>0.0</v>
      </c>
      <c r="D7" s="28">
        <v>1.0</v>
      </c>
      <c r="E7" s="14" t="s">
        <v>209</v>
      </c>
      <c r="F7" s="19" t="str">
        <f t="shared" ref="F7:F50" si="1">C7+D7</f>
        <v>1</v>
      </c>
      <c r="G7" s="14"/>
      <c r="H7" s="16" t="s">
        <v>193</v>
      </c>
      <c r="I7" s="30" t="str">
        <f>'⚙️ Master Threshold'!E97</f>
        <v>10</v>
      </c>
      <c r="J7" s="14" t="str">
        <f t="shared" ref="J7:J50" si="2">IF(I7=0,"—",IF(F7&lt;=I7,"🔴 KRITIS",IF(F7&lt;=I7*2,"🟠 HAMPIR HABIS","🟢 AMAN")))</f>
        <v>🔴 KRITIS</v>
      </c>
      <c r="K7" s="13"/>
      <c r="L7" s="31" t="str">
        <f t="shared" ref="L7:L50" si="3">IF(J7="🔴 KRITIS",B7,"")</f>
        <v>Sticker Thinwal</v>
      </c>
      <c r="M7" s="32" t="str">
        <f t="shared" ref="M7:M50" si="4">IF(J7="🔴 KRITIS","SEGERA RESTOCK!",IF(J7="🟠 HAMPIR HABIS","Cek &amp; Restock",""))</f>
        <v>SEGERA RESTOCK!</v>
      </c>
      <c r="N7" s="13"/>
    </row>
    <row r="8" ht="18.0" customHeight="1">
      <c r="A8" s="8">
        <v>2.0</v>
      </c>
      <c r="B8" s="9" t="s">
        <v>105</v>
      </c>
      <c r="C8" s="28">
        <v>4.0</v>
      </c>
      <c r="D8" s="29">
        <v>1.0</v>
      </c>
      <c r="E8" s="8" t="s">
        <v>209</v>
      </c>
      <c r="F8" s="19" t="str">
        <f t="shared" si="1"/>
        <v>5</v>
      </c>
      <c r="G8" s="8"/>
      <c r="H8" s="10" t="s">
        <v>193</v>
      </c>
      <c r="I8" s="30" t="str">
        <f>'⚙️ Master Threshold'!E98</f>
        <v>1</v>
      </c>
      <c r="J8" s="8" t="str">
        <f t="shared" si="2"/>
        <v>🟢 AMAN</v>
      </c>
      <c r="K8" s="13"/>
      <c r="L8" s="33" t="str">
        <f t="shared" si="3"/>
        <v/>
      </c>
      <c r="M8" s="34" t="str">
        <f t="shared" si="4"/>
        <v/>
      </c>
      <c r="N8" s="13"/>
    </row>
    <row r="9" ht="18.0" customHeight="1">
      <c r="A9" s="14">
        <v>3.0</v>
      </c>
      <c r="B9" s="15" t="s">
        <v>106</v>
      </c>
      <c r="C9" s="29">
        <v>2.0</v>
      </c>
      <c r="D9" s="29">
        <v>1.0</v>
      </c>
      <c r="E9" s="14" t="s">
        <v>186</v>
      </c>
      <c r="F9" s="19" t="str">
        <f t="shared" si="1"/>
        <v>3</v>
      </c>
      <c r="G9" s="14"/>
      <c r="H9" s="16" t="s">
        <v>193</v>
      </c>
      <c r="I9" s="30" t="str">
        <f>'⚙️ Master Threshold'!E99</f>
        <v>1</v>
      </c>
      <c r="J9" s="14" t="str">
        <f t="shared" si="2"/>
        <v>🟢 AMAN</v>
      </c>
      <c r="K9" s="13"/>
      <c r="L9" s="31" t="str">
        <f t="shared" si="3"/>
        <v/>
      </c>
      <c r="M9" s="32" t="str">
        <f t="shared" si="4"/>
        <v/>
      </c>
      <c r="N9" s="13"/>
    </row>
    <row r="10" ht="18.0" customHeight="1">
      <c r="A10" s="8">
        <v>4.0</v>
      </c>
      <c r="B10" s="9" t="s">
        <v>107</v>
      </c>
      <c r="C10" s="29">
        <v>1.0</v>
      </c>
      <c r="D10" s="29">
        <v>1.0</v>
      </c>
      <c r="E10" s="8" t="s">
        <v>186</v>
      </c>
      <c r="F10" s="19" t="str">
        <f t="shared" si="1"/>
        <v>2</v>
      </c>
      <c r="G10" s="8"/>
      <c r="H10" s="10" t="s">
        <v>193</v>
      </c>
      <c r="I10" s="30" t="str">
        <f>'⚙️ Master Threshold'!E100</f>
        <v>1</v>
      </c>
      <c r="J10" s="8" t="str">
        <f t="shared" si="2"/>
        <v>🟠 HAMPIR HABIS</v>
      </c>
      <c r="K10" s="13"/>
      <c r="L10" s="33" t="str">
        <f t="shared" si="3"/>
        <v/>
      </c>
      <c r="M10" s="34" t="str">
        <f t="shared" si="4"/>
        <v>Cek &amp; Restock</v>
      </c>
      <c r="N10" s="13"/>
    </row>
    <row r="11" ht="18.0" customHeight="1">
      <c r="A11" s="14">
        <v>5.0</v>
      </c>
      <c r="B11" s="15" t="s">
        <v>108</v>
      </c>
      <c r="C11" s="29">
        <v>400.0</v>
      </c>
      <c r="D11" s="28">
        <v>20.0</v>
      </c>
      <c r="E11" s="14" t="s">
        <v>209</v>
      </c>
      <c r="F11" s="19" t="str">
        <f t="shared" si="1"/>
        <v>420</v>
      </c>
      <c r="G11" s="14"/>
      <c r="H11" s="16" t="s">
        <v>193</v>
      </c>
      <c r="I11" s="30" t="str">
        <f>'⚙️ Master Threshold'!E101</f>
        <v>5</v>
      </c>
      <c r="J11" s="14" t="str">
        <f t="shared" si="2"/>
        <v>🟢 AMAN</v>
      </c>
      <c r="K11" s="13"/>
      <c r="L11" s="31" t="str">
        <f t="shared" si="3"/>
        <v/>
      </c>
      <c r="M11" s="32" t="str">
        <f t="shared" si="4"/>
        <v/>
      </c>
      <c r="N11" s="13"/>
    </row>
    <row r="12" ht="18.0" customHeight="1">
      <c r="A12" s="14" t="str">
        <f t="shared" ref="A12:A50" si="5">A11+1</f>
        <v>6</v>
      </c>
      <c r="B12" s="15" t="s">
        <v>109</v>
      </c>
      <c r="C12" s="29">
        <v>450.0</v>
      </c>
      <c r="D12" s="28">
        <v>10.0</v>
      </c>
      <c r="E12" s="14" t="s">
        <v>232</v>
      </c>
      <c r="F12" s="19" t="str">
        <f t="shared" si="1"/>
        <v>460</v>
      </c>
      <c r="G12" s="14"/>
      <c r="H12" s="16"/>
      <c r="I12" s="30" t="str">
        <f>'⚙️ Master Threshold'!E102</f>
        <v>50</v>
      </c>
      <c r="J12" s="14" t="str">
        <f t="shared" si="2"/>
        <v>🟢 AMAN</v>
      </c>
      <c r="K12" s="13"/>
      <c r="L12" s="31" t="str">
        <f t="shared" si="3"/>
        <v/>
      </c>
      <c r="M12" s="34" t="str">
        <f t="shared" si="4"/>
        <v/>
      </c>
      <c r="N12" s="13"/>
    </row>
    <row r="13" ht="18.0" customHeight="1">
      <c r="A13" s="14" t="str">
        <f t="shared" si="5"/>
        <v>7</v>
      </c>
      <c r="B13" s="9" t="s">
        <v>110</v>
      </c>
      <c r="C13" s="29">
        <v>1000.0</v>
      </c>
      <c r="D13" s="29">
        <v>0.0</v>
      </c>
      <c r="E13" s="8" t="s">
        <v>168</v>
      </c>
      <c r="F13" s="19" t="str">
        <f t="shared" si="1"/>
        <v>1000</v>
      </c>
      <c r="G13" s="8"/>
      <c r="H13" s="10" t="s">
        <v>193</v>
      </c>
      <c r="I13" s="30" t="str">
        <f>'⚙️ Master Threshold'!E103</f>
        <v>10</v>
      </c>
      <c r="J13" s="8" t="str">
        <f t="shared" si="2"/>
        <v>🟢 AMAN</v>
      </c>
      <c r="K13" s="13"/>
      <c r="L13" s="33" t="str">
        <f t="shared" si="3"/>
        <v/>
      </c>
      <c r="M13" s="34" t="str">
        <f t="shared" si="4"/>
        <v/>
      </c>
      <c r="N13" s="13"/>
    </row>
    <row r="14" ht="18.0" customHeight="1">
      <c r="A14" s="14" t="str">
        <f t="shared" si="5"/>
        <v>8</v>
      </c>
      <c r="B14" s="15" t="s">
        <v>111</v>
      </c>
      <c r="C14" s="28">
        <v>14.0</v>
      </c>
      <c r="D14" s="29">
        <v>2.0</v>
      </c>
      <c r="E14" s="14" t="s">
        <v>168</v>
      </c>
      <c r="F14" s="19" t="str">
        <f t="shared" si="1"/>
        <v>16</v>
      </c>
      <c r="G14" s="14"/>
      <c r="H14" s="16" t="s">
        <v>193</v>
      </c>
      <c r="I14" s="30" t="str">
        <f>'⚙️ Master Threshold'!E104</f>
        <v>1</v>
      </c>
      <c r="J14" s="14" t="str">
        <f t="shared" si="2"/>
        <v>🟢 AMAN</v>
      </c>
      <c r="K14" s="13"/>
      <c r="L14" s="31" t="str">
        <f t="shared" si="3"/>
        <v/>
      </c>
      <c r="M14" s="32" t="str">
        <f t="shared" si="4"/>
        <v/>
      </c>
      <c r="N14" s="13"/>
    </row>
    <row r="15" ht="18.0" customHeight="1">
      <c r="A15" s="14" t="str">
        <f t="shared" si="5"/>
        <v>9</v>
      </c>
      <c r="B15" s="9" t="s">
        <v>112</v>
      </c>
      <c r="C15" s="29">
        <v>50.0</v>
      </c>
      <c r="D15" s="28">
        <v>8.0</v>
      </c>
      <c r="E15" s="8" t="s">
        <v>209</v>
      </c>
      <c r="F15" s="19" t="str">
        <f t="shared" si="1"/>
        <v>58</v>
      </c>
      <c r="G15" s="8"/>
      <c r="H15" s="10" t="s">
        <v>193</v>
      </c>
      <c r="I15" s="30" t="str">
        <f>'⚙️ Master Threshold'!E105</f>
        <v>50</v>
      </c>
      <c r="J15" s="8" t="str">
        <f t="shared" si="2"/>
        <v>🟠 HAMPIR HABIS</v>
      </c>
      <c r="K15" s="13"/>
      <c r="L15" s="33" t="str">
        <f t="shared" si="3"/>
        <v/>
      </c>
      <c r="M15" s="34" t="str">
        <f t="shared" si="4"/>
        <v>Cek &amp; Restock</v>
      </c>
      <c r="N15" s="13"/>
    </row>
    <row r="16" ht="18.0" customHeight="1">
      <c r="A16" s="14" t="str">
        <f t="shared" si="5"/>
        <v>10</v>
      </c>
      <c r="B16" s="15" t="s">
        <v>113</v>
      </c>
      <c r="C16" s="29">
        <v>0.0</v>
      </c>
      <c r="D16" s="28">
        <v>0.0</v>
      </c>
      <c r="E16" s="14" t="s">
        <v>209</v>
      </c>
      <c r="F16" s="19" t="str">
        <f t="shared" si="1"/>
        <v>0</v>
      </c>
      <c r="G16" s="14"/>
      <c r="H16" s="16" t="s">
        <v>193</v>
      </c>
      <c r="I16" s="30" t="str">
        <f>'⚙️ Master Threshold'!E106</f>
        <v>20</v>
      </c>
      <c r="J16" s="14" t="str">
        <f t="shared" si="2"/>
        <v>🔴 KRITIS</v>
      </c>
      <c r="K16" s="13"/>
      <c r="L16" s="31" t="str">
        <f t="shared" si="3"/>
        <v>Tusuk Odeng</v>
      </c>
      <c r="M16" s="32" t="str">
        <f t="shared" si="4"/>
        <v>SEGERA RESTOCK!</v>
      </c>
      <c r="N16" s="13"/>
    </row>
    <row r="17">
      <c r="A17" s="14" t="str">
        <f t="shared" si="5"/>
        <v>11</v>
      </c>
      <c r="B17" s="9" t="s">
        <v>92</v>
      </c>
      <c r="C17" s="28">
        <v>50.0</v>
      </c>
      <c r="D17" s="28">
        <v>48.0</v>
      </c>
      <c r="E17" s="8" t="s">
        <v>209</v>
      </c>
      <c r="F17" s="19" t="str">
        <f t="shared" si="1"/>
        <v>98</v>
      </c>
      <c r="G17" s="8"/>
      <c r="H17" s="10" t="s">
        <v>193</v>
      </c>
      <c r="I17" s="30" t="str">
        <f>'⚙️ Master Threshold'!E107</f>
        <v>50</v>
      </c>
      <c r="J17" s="8" t="str">
        <f t="shared" si="2"/>
        <v>🟠 HAMPIR HABIS</v>
      </c>
      <c r="K17" s="13"/>
      <c r="L17" s="33" t="str">
        <f t="shared" si="3"/>
        <v/>
      </c>
      <c r="M17" s="34" t="str">
        <f t="shared" si="4"/>
        <v>Cek &amp; Restock</v>
      </c>
      <c r="N17" s="13"/>
    </row>
    <row r="18" ht="18.0" customHeight="1">
      <c r="A18" s="14" t="str">
        <f t="shared" si="5"/>
        <v>12</v>
      </c>
      <c r="B18" s="15" t="s">
        <v>114</v>
      </c>
      <c r="C18" s="29">
        <v>0.0</v>
      </c>
      <c r="D18" s="29">
        <v>1.0</v>
      </c>
      <c r="E18" s="14" t="s">
        <v>186</v>
      </c>
      <c r="F18" s="19" t="str">
        <f t="shared" si="1"/>
        <v>1</v>
      </c>
      <c r="G18" s="14"/>
      <c r="H18" s="16" t="s">
        <v>193</v>
      </c>
      <c r="I18" s="30" t="str">
        <f>'⚙️ Master Threshold'!E108</f>
        <v>2</v>
      </c>
      <c r="J18" s="14" t="str">
        <f t="shared" si="2"/>
        <v>🔴 KRITIS</v>
      </c>
      <c r="K18" s="13"/>
      <c r="L18" s="31" t="str">
        <f t="shared" si="3"/>
        <v>Sendok Kayu</v>
      </c>
      <c r="M18" s="32" t="str">
        <f t="shared" si="4"/>
        <v>SEGERA RESTOCK!</v>
      </c>
      <c r="N18" s="13"/>
    </row>
    <row r="19" ht="18.0" customHeight="1">
      <c r="A19" s="14" t="str">
        <f t="shared" si="5"/>
        <v>13</v>
      </c>
      <c r="B19" s="9" t="s">
        <v>115</v>
      </c>
      <c r="C19" s="29">
        <v>8.0</v>
      </c>
      <c r="D19" s="29">
        <v>1.0</v>
      </c>
      <c r="E19" s="8" t="s">
        <v>233</v>
      </c>
      <c r="F19" s="19" t="str">
        <f t="shared" si="1"/>
        <v>9</v>
      </c>
      <c r="G19" s="8"/>
      <c r="H19" s="10" t="s">
        <v>193</v>
      </c>
      <c r="I19" s="30" t="str">
        <f>'⚙️ Master Threshold'!E109</f>
        <v>1</v>
      </c>
      <c r="J19" s="8" t="str">
        <f t="shared" si="2"/>
        <v>🟢 AMAN</v>
      </c>
      <c r="K19" s="13"/>
      <c r="L19" s="33" t="str">
        <f t="shared" si="3"/>
        <v/>
      </c>
      <c r="M19" s="34" t="str">
        <f t="shared" si="4"/>
        <v/>
      </c>
      <c r="N19" s="13"/>
    </row>
    <row r="20">
      <c r="A20" s="14" t="str">
        <f t="shared" si="5"/>
        <v>14</v>
      </c>
      <c r="B20" s="15" t="s">
        <v>116</v>
      </c>
      <c r="C20" s="29">
        <v>0.0</v>
      </c>
      <c r="D20" s="29">
        <v>2.0</v>
      </c>
      <c r="E20" s="14" t="s">
        <v>186</v>
      </c>
      <c r="F20" s="19" t="str">
        <f t="shared" si="1"/>
        <v>2</v>
      </c>
      <c r="G20" s="14"/>
      <c r="H20" s="16" t="s">
        <v>193</v>
      </c>
      <c r="I20" s="30" t="str">
        <f>'⚙️ Master Threshold'!E110</f>
        <v>1</v>
      </c>
      <c r="J20" s="14" t="str">
        <f t="shared" si="2"/>
        <v>🟠 HAMPIR HABIS</v>
      </c>
      <c r="K20" s="13"/>
      <c r="L20" s="31" t="str">
        <f t="shared" si="3"/>
        <v/>
      </c>
      <c r="M20" s="32" t="str">
        <f t="shared" si="4"/>
        <v>Cek &amp; Restock</v>
      </c>
      <c r="N20" s="13"/>
    </row>
    <row r="21" ht="18.0" customHeight="1">
      <c r="A21" s="14" t="str">
        <f t="shared" si="5"/>
        <v>15</v>
      </c>
      <c r="B21" s="9" t="s">
        <v>117</v>
      </c>
      <c r="C21" s="29">
        <v>1.0</v>
      </c>
      <c r="D21" s="29">
        <v>1.0</v>
      </c>
      <c r="E21" s="8" t="s">
        <v>186</v>
      </c>
      <c r="F21" s="19" t="str">
        <f t="shared" si="1"/>
        <v>2</v>
      </c>
      <c r="G21" s="8"/>
      <c r="H21" s="10" t="s">
        <v>193</v>
      </c>
      <c r="I21" s="30" t="str">
        <f>'⚙️ Master Threshold'!E111</f>
        <v>1</v>
      </c>
      <c r="J21" s="8" t="str">
        <f t="shared" si="2"/>
        <v>🟠 HAMPIR HABIS</v>
      </c>
      <c r="K21" s="13"/>
      <c r="L21" s="33" t="str">
        <f t="shared" si="3"/>
        <v/>
      </c>
      <c r="M21" s="34" t="str">
        <f t="shared" si="4"/>
        <v>Cek &amp; Restock</v>
      </c>
      <c r="N21" s="13"/>
    </row>
    <row r="22" ht="18.0" customHeight="1">
      <c r="A22" s="14" t="str">
        <f t="shared" si="5"/>
        <v>16</v>
      </c>
      <c r="B22" s="15" t="s">
        <v>118</v>
      </c>
      <c r="C22" s="29">
        <v>0.0</v>
      </c>
      <c r="D22" s="29">
        <v>0.0</v>
      </c>
      <c r="E22" s="14" t="s">
        <v>234</v>
      </c>
      <c r="F22" s="19" t="str">
        <f t="shared" si="1"/>
        <v>0</v>
      </c>
      <c r="G22" s="14"/>
      <c r="H22" s="16" t="s">
        <v>193</v>
      </c>
      <c r="I22" s="30" t="str">
        <f>'⚙️ Master Threshold'!E112</f>
        <v>20</v>
      </c>
      <c r="J22" s="14" t="str">
        <f t="shared" si="2"/>
        <v>🔴 KRITIS</v>
      </c>
      <c r="K22" s="13"/>
      <c r="L22" s="31" t="str">
        <f t="shared" si="3"/>
        <v>Label Biasa</v>
      </c>
      <c r="M22" s="32" t="str">
        <f t="shared" si="4"/>
        <v>SEGERA RESTOCK!</v>
      </c>
      <c r="N22" s="13"/>
    </row>
    <row r="23" ht="18.0" customHeight="1">
      <c r="A23" s="14" t="str">
        <f t="shared" si="5"/>
        <v>17</v>
      </c>
      <c r="B23" s="9" t="s">
        <v>119</v>
      </c>
      <c r="C23" s="29">
        <v>0.0</v>
      </c>
      <c r="D23" s="28">
        <v>12.0</v>
      </c>
      <c r="E23" s="8" t="s">
        <v>235</v>
      </c>
      <c r="F23" s="19" t="str">
        <f t="shared" si="1"/>
        <v>12</v>
      </c>
      <c r="G23" s="8"/>
      <c r="H23" s="10" t="s">
        <v>193</v>
      </c>
      <c r="I23" s="30" t="str">
        <f>'⚙️ Master Threshold'!E113</f>
        <v>20</v>
      </c>
      <c r="J23" s="8" t="str">
        <f t="shared" si="2"/>
        <v>🔴 KRITIS</v>
      </c>
      <c r="K23" s="13"/>
      <c r="L23" s="33" t="str">
        <f t="shared" si="3"/>
        <v>Thinwal Biasa</v>
      </c>
      <c r="M23" s="34" t="str">
        <f t="shared" si="4"/>
        <v>SEGERA RESTOCK!</v>
      </c>
      <c r="N23" s="13"/>
    </row>
    <row r="24" ht="18.0" customHeight="1">
      <c r="A24" s="14" t="str">
        <f t="shared" si="5"/>
        <v>18</v>
      </c>
      <c r="B24" s="15" t="s">
        <v>120</v>
      </c>
      <c r="C24" s="29">
        <v>0.0</v>
      </c>
      <c r="D24" s="29">
        <v>0.0</v>
      </c>
      <c r="E24" s="14" t="s">
        <v>186</v>
      </c>
      <c r="F24" s="19" t="str">
        <f t="shared" si="1"/>
        <v>0</v>
      </c>
      <c r="G24" s="14"/>
      <c r="H24" s="16" t="s">
        <v>193</v>
      </c>
      <c r="I24" s="30" t="str">
        <f>'⚙️ Master Threshold'!E114</f>
        <v>1</v>
      </c>
      <c r="J24" s="14" t="str">
        <f t="shared" si="2"/>
        <v>🔴 KRITIS</v>
      </c>
      <c r="K24" s="13"/>
      <c r="L24" s="31" t="str">
        <f t="shared" si="3"/>
        <v>Thinwal 1250 ml</v>
      </c>
      <c r="M24" s="32" t="str">
        <f t="shared" si="4"/>
        <v>SEGERA RESTOCK!</v>
      </c>
      <c r="N24" s="13"/>
    </row>
    <row r="25" ht="18.0" customHeight="1">
      <c r="A25" s="14" t="str">
        <f t="shared" si="5"/>
        <v>19</v>
      </c>
      <c r="B25" s="9" t="s">
        <v>236</v>
      </c>
      <c r="C25" s="29">
        <v>0.0</v>
      </c>
      <c r="D25" s="29">
        <v>0.0</v>
      </c>
      <c r="E25" s="8" t="s">
        <v>168</v>
      </c>
      <c r="F25" s="19" t="str">
        <f t="shared" si="1"/>
        <v>0</v>
      </c>
      <c r="G25" s="8"/>
      <c r="H25" s="10" t="s">
        <v>193</v>
      </c>
      <c r="I25" s="30" t="str">
        <f>'⚙️ Master Threshold'!E115</f>
        <v>25</v>
      </c>
      <c r="J25" s="8" t="str">
        <f t="shared" si="2"/>
        <v>🔴 KRITIS</v>
      </c>
      <c r="K25" s="13"/>
      <c r="L25" s="33" t="str">
        <f t="shared" si="3"/>
        <v>Thinwal Putih (Berbagi)</v>
      </c>
      <c r="M25" s="34" t="str">
        <f t="shared" si="4"/>
        <v>SEGERA RESTOCK!</v>
      </c>
      <c r="N25" s="13"/>
    </row>
    <row r="26" ht="18.0" customHeight="1">
      <c r="A26" s="14" t="str">
        <f t="shared" si="5"/>
        <v>20</v>
      </c>
      <c r="B26" s="15" t="s">
        <v>122</v>
      </c>
      <c r="C26" s="29">
        <v>0.0</v>
      </c>
      <c r="D26" s="28">
        <v>17.0</v>
      </c>
      <c r="E26" s="14" t="s">
        <v>168</v>
      </c>
      <c r="F26" s="19" t="str">
        <f t="shared" si="1"/>
        <v>17</v>
      </c>
      <c r="G26" s="14"/>
      <c r="H26" s="16" t="s">
        <v>193</v>
      </c>
      <c r="I26" s="30" t="str">
        <f>'⚙️ Master Threshold'!E116</f>
        <v>10</v>
      </c>
      <c r="J26" s="14" t="str">
        <f t="shared" si="2"/>
        <v>🟠 HAMPIR HABIS</v>
      </c>
      <c r="K26" s="13"/>
      <c r="L26" s="31" t="str">
        <f t="shared" si="3"/>
        <v/>
      </c>
      <c r="M26" s="32" t="str">
        <f t="shared" si="4"/>
        <v>Cek &amp; Restock</v>
      </c>
      <c r="N26" s="13"/>
    </row>
    <row r="27" ht="18.0" customHeight="1">
      <c r="A27" s="14" t="str">
        <f t="shared" si="5"/>
        <v>21</v>
      </c>
      <c r="B27" s="9" t="s">
        <v>237</v>
      </c>
      <c r="C27" s="29">
        <v>0.0</v>
      </c>
      <c r="D27" s="29">
        <v>2.0</v>
      </c>
      <c r="E27" s="8" t="s">
        <v>168</v>
      </c>
      <c r="F27" s="19" t="str">
        <f t="shared" si="1"/>
        <v>2</v>
      </c>
      <c r="G27" s="8"/>
      <c r="H27" s="10" t="s">
        <v>193</v>
      </c>
      <c r="I27" s="30" t="str">
        <f>'⚙️ Master Threshold'!E117</f>
        <v>1</v>
      </c>
      <c r="J27" s="8" t="str">
        <f t="shared" si="2"/>
        <v>🟠 HAMPIR HABIS</v>
      </c>
      <c r="K27" s="13"/>
      <c r="L27" s="33" t="str">
        <f t="shared" si="3"/>
        <v/>
      </c>
      <c r="M27" s="34" t="str">
        <f t="shared" si="4"/>
        <v>Cek &amp; Restock</v>
      </c>
      <c r="N27" s="13"/>
    </row>
    <row r="28" ht="18.0" customHeight="1">
      <c r="A28" s="14" t="str">
        <f t="shared" si="5"/>
        <v>22</v>
      </c>
      <c r="B28" s="15" t="s">
        <v>124</v>
      </c>
      <c r="C28" s="29">
        <v>0.0</v>
      </c>
      <c r="D28" s="29">
        <v>0.0</v>
      </c>
      <c r="E28" s="14" t="s">
        <v>186</v>
      </c>
      <c r="F28" s="19" t="str">
        <f t="shared" si="1"/>
        <v>0</v>
      </c>
      <c r="G28" s="14"/>
      <c r="H28" s="16" t="s">
        <v>193</v>
      </c>
      <c r="I28" s="30" t="str">
        <f>'⚙️ Master Threshold'!E118</f>
        <v>1</v>
      </c>
      <c r="J28" s="14" t="str">
        <f t="shared" si="2"/>
        <v>🔴 KRITIS</v>
      </c>
      <c r="K28" s="13"/>
      <c r="L28" s="31" t="str">
        <f t="shared" si="3"/>
        <v>Kresek 50</v>
      </c>
      <c r="M28" s="32" t="str">
        <f t="shared" si="4"/>
        <v>SEGERA RESTOCK!</v>
      </c>
      <c r="N28" s="13"/>
    </row>
    <row r="29" ht="18.0" customHeight="1">
      <c r="A29" s="14" t="str">
        <f t="shared" si="5"/>
        <v>23</v>
      </c>
      <c r="B29" s="9" t="s">
        <v>125</v>
      </c>
      <c r="C29" s="29">
        <v>0.0</v>
      </c>
      <c r="D29" s="29">
        <v>0.0</v>
      </c>
      <c r="E29" s="8" t="s">
        <v>186</v>
      </c>
      <c r="F29" s="19" t="str">
        <f t="shared" si="1"/>
        <v>0</v>
      </c>
      <c r="G29" s="8"/>
      <c r="H29" s="10" t="s">
        <v>193</v>
      </c>
      <c r="I29" s="30" t="str">
        <f>'⚙️ Master Threshold'!E119</f>
        <v>1</v>
      </c>
      <c r="J29" s="8" t="str">
        <f t="shared" si="2"/>
        <v>🔴 KRITIS</v>
      </c>
      <c r="K29" s="13"/>
      <c r="L29" s="33" t="str">
        <f t="shared" si="3"/>
        <v>Kresek 40</v>
      </c>
      <c r="M29" s="34" t="str">
        <f t="shared" si="4"/>
        <v>SEGERA RESTOCK!</v>
      </c>
      <c r="N29" s="13"/>
    </row>
    <row r="30" ht="18.0" customHeight="1">
      <c r="A30" s="14" t="str">
        <f t="shared" si="5"/>
        <v>24</v>
      </c>
      <c r="B30" s="15" t="s">
        <v>126</v>
      </c>
      <c r="C30" s="29">
        <v>0.0</v>
      </c>
      <c r="D30" s="29">
        <v>1.0</v>
      </c>
      <c r="E30" s="14" t="s">
        <v>186</v>
      </c>
      <c r="F30" s="19" t="str">
        <f t="shared" si="1"/>
        <v>1</v>
      </c>
      <c r="G30" s="14"/>
      <c r="H30" s="16" t="s">
        <v>193</v>
      </c>
      <c r="I30" s="30" t="str">
        <f>'⚙️ Master Threshold'!E120</f>
        <v>1</v>
      </c>
      <c r="J30" s="14" t="str">
        <f t="shared" si="2"/>
        <v>🔴 KRITIS</v>
      </c>
      <c r="K30" s="13"/>
      <c r="L30" s="31" t="str">
        <f t="shared" si="3"/>
        <v>Kresek 30 Ayam</v>
      </c>
      <c r="M30" s="32" t="str">
        <f t="shared" si="4"/>
        <v>SEGERA RESTOCK!</v>
      </c>
      <c r="N30" s="13"/>
    </row>
    <row r="31" ht="18.0" customHeight="1">
      <c r="A31" s="14" t="str">
        <f t="shared" si="5"/>
        <v>25</v>
      </c>
      <c r="B31" s="9" t="s">
        <v>127</v>
      </c>
      <c r="C31" s="29">
        <v>0.0</v>
      </c>
      <c r="D31" s="29">
        <v>22.0</v>
      </c>
      <c r="E31" s="8" t="s">
        <v>209</v>
      </c>
      <c r="F31" s="19" t="str">
        <f t="shared" si="1"/>
        <v>22</v>
      </c>
      <c r="G31" s="8"/>
      <c r="H31" s="10" t="s">
        <v>193</v>
      </c>
      <c r="I31" s="30" t="str">
        <f>'⚙️ Master Threshold'!E121</f>
        <v>10</v>
      </c>
      <c r="J31" s="8" t="str">
        <f t="shared" si="2"/>
        <v>🟢 AMAN</v>
      </c>
      <c r="K31" s="13"/>
      <c r="L31" s="33" t="str">
        <f t="shared" si="3"/>
        <v/>
      </c>
      <c r="M31" s="34" t="str">
        <f t="shared" si="4"/>
        <v/>
      </c>
      <c r="N31" s="13"/>
    </row>
    <row r="32" ht="18.0" customHeight="1">
      <c r="A32" s="14" t="str">
        <f t="shared" si="5"/>
        <v>26</v>
      </c>
      <c r="B32" s="15" t="s">
        <v>128</v>
      </c>
      <c r="C32" s="28">
        <v>2.0</v>
      </c>
      <c r="D32" s="29">
        <v>1.0</v>
      </c>
      <c r="E32" s="14" t="s">
        <v>186</v>
      </c>
      <c r="F32" s="19" t="str">
        <f t="shared" si="1"/>
        <v>3</v>
      </c>
      <c r="G32" s="14"/>
      <c r="H32" s="16" t="s">
        <v>193</v>
      </c>
      <c r="I32" s="30" t="str">
        <f>'⚙️ Master Threshold'!E122</f>
        <v>1</v>
      </c>
      <c r="J32" s="14" t="str">
        <f t="shared" si="2"/>
        <v>🟢 AMAN</v>
      </c>
      <c r="K32" s="13"/>
      <c r="L32" s="31" t="str">
        <f t="shared" si="3"/>
        <v/>
      </c>
      <c r="M32" s="32" t="str">
        <f t="shared" si="4"/>
        <v/>
      </c>
      <c r="N32" s="13"/>
    </row>
    <row r="33" ht="18.0" customHeight="1">
      <c r="A33" s="14" t="str">
        <f t="shared" si="5"/>
        <v>27</v>
      </c>
      <c r="B33" s="9" t="s">
        <v>129</v>
      </c>
      <c r="C33" s="29">
        <v>0.0</v>
      </c>
      <c r="D33" s="29">
        <v>1.0</v>
      </c>
      <c r="E33" s="8" t="s">
        <v>186</v>
      </c>
      <c r="F33" s="19" t="str">
        <f t="shared" si="1"/>
        <v>1</v>
      </c>
      <c r="G33" s="8"/>
      <c r="H33" s="10" t="s">
        <v>193</v>
      </c>
      <c r="I33" s="30" t="str">
        <f>'⚙️ Master Threshold'!E123</f>
        <v>1</v>
      </c>
      <c r="J33" s="8" t="str">
        <f t="shared" si="2"/>
        <v>🔴 KRITIS</v>
      </c>
      <c r="K33" s="13"/>
      <c r="L33" s="33" t="str">
        <f t="shared" si="3"/>
        <v>Tusuk Sate</v>
      </c>
      <c r="M33" s="34" t="str">
        <f t="shared" si="4"/>
        <v>SEGERA RESTOCK!</v>
      </c>
      <c r="N33" s="13"/>
    </row>
    <row r="34" ht="15.75" customHeight="1">
      <c r="A34" s="14" t="str">
        <f t="shared" si="5"/>
        <v>28</v>
      </c>
      <c r="B34" s="15" t="s">
        <v>130</v>
      </c>
      <c r="C34" s="29">
        <v>100.0</v>
      </c>
      <c r="D34" s="28">
        <v>65.0</v>
      </c>
      <c r="E34" s="14" t="s">
        <v>232</v>
      </c>
      <c r="F34" s="19" t="str">
        <f t="shared" si="1"/>
        <v>165</v>
      </c>
      <c r="G34" s="14"/>
      <c r="H34" s="16" t="s">
        <v>193</v>
      </c>
      <c r="I34" s="30" t="str">
        <f>'⚙️ Master Threshold'!E124</f>
        <v>10</v>
      </c>
      <c r="J34" s="14" t="str">
        <f t="shared" si="2"/>
        <v>🟢 AMAN</v>
      </c>
      <c r="K34" s="13"/>
      <c r="L34" s="31" t="str">
        <f t="shared" si="3"/>
        <v/>
      </c>
      <c r="M34" s="32" t="str">
        <f t="shared" si="4"/>
        <v/>
      </c>
      <c r="N34" s="13"/>
    </row>
    <row r="35" ht="18.0" customHeight="1">
      <c r="A35" s="14" t="str">
        <f t="shared" si="5"/>
        <v>29</v>
      </c>
      <c r="B35" s="9" t="s">
        <v>131</v>
      </c>
      <c r="C35" s="29">
        <v>0.0</v>
      </c>
      <c r="D35" s="28">
        <v>70.0</v>
      </c>
      <c r="E35" s="8" t="s">
        <v>232</v>
      </c>
      <c r="F35" s="19" t="str">
        <f t="shared" si="1"/>
        <v>70</v>
      </c>
      <c r="G35" s="8"/>
      <c r="H35" s="10" t="s">
        <v>193</v>
      </c>
      <c r="I35" s="30" t="str">
        <f>'⚙️ Master Threshold'!E125</f>
        <v>25</v>
      </c>
      <c r="J35" s="8" t="str">
        <f t="shared" si="2"/>
        <v>🟢 AMAN</v>
      </c>
      <c r="K35" s="13"/>
      <c r="L35" s="33" t="str">
        <f t="shared" si="3"/>
        <v/>
      </c>
      <c r="M35" s="34" t="str">
        <f t="shared" si="4"/>
        <v/>
      </c>
      <c r="N35" s="13"/>
    </row>
    <row r="36" ht="18.0" customHeight="1">
      <c r="A36" s="14" t="str">
        <f t="shared" si="5"/>
        <v>30</v>
      </c>
      <c r="B36" s="15" t="s">
        <v>132</v>
      </c>
      <c r="C36" s="28">
        <v>0.0</v>
      </c>
      <c r="D36" s="29">
        <v>1.0</v>
      </c>
      <c r="E36" s="14" t="s">
        <v>226</v>
      </c>
      <c r="F36" s="19" t="str">
        <f t="shared" si="1"/>
        <v>1</v>
      </c>
      <c r="G36" s="14"/>
      <c r="H36" s="16" t="s">
        <v>193</v>
      </c>
      <c r="I36" s="30" t="str">
        <f>'⚙️ Master Threshold'!E126</f>
        <v>1</v>
      </c>
      <c r="J36" s="14" t="str">
        <f t="shared" si="2"/>
        <v>🔴 KRITIS</v>
      </c>
      <c r="K36" s="13"/>
      <c r="L36" s="31" t="str">
        <f t="shared" si="3"/>
        <v>Tisu</v>
      </c>
      <c r="M36" s="32" t="str">
        <f t="shared" si="4"/>
        <v>SEGERA RESTOCK!</v>
      </c>
      <c r="N36" s="13"/>
    </row>
    <row r="37" ht="18.0" customHeight="1">
      <c r="A37" s="14" t="str">
        <f t="shared" si="5"/>
        <v>31</v>
      </c>
      <c r="B37" s="9" t="s">
        <v>133</v>
      </c>
      <c r="C37" s="29">
        <v>0.0</v>
      </c>
      <c r="D37" s="28">
        <v>46.0</v>
      </c>
      <c r="E37" s="8" t="s">
        <v>235</v>
      </c>
      <c r="F37" s="19" t="str">
        <f t="shared" si="1"/>
        <v>46</v>
      </c>
      <c r="G37" s="8"/>
      <c r="H37" s="10" t="s">
        <v>193</v>
      </c>
      <c r="I37" s="30" t="str">
        <f>'⚙️ Master Threshold'!E127</f>
        <v>1</v>
      </c>
      <c r="J37" s="8" t="str">
        <f t="shared" si="2"/>
        <v>🟢 AMAN</v>
      </c>
      <c r="K37" s="13"/>
      <c r="L37" s="33" t="str">
        <f t="shared" si="3"/>
        <v/>
      </c>
      <c r="M37" s="34" t="str">
        <f t="shared" si="4"/>
        <v/>
      </c>
      <c r="N37" s="13"/>
    </row>
    <row r="38" ht="18.0" customHeight="1">
      <c r="A38" s="14" t="str">
        <f t="shared" si="5"/>
        <v>32</v>
      </c>
      <c r="B38" s="15" t="s">
        <v>134</v>
      </c>
      <c r="C38" s="29">
        <v>0.0</v>
      </c>
      <c r="D38" s="28">
        <v>0.0</v>
      </c>
      <c r="E38" s="14" t="s">
        <v>168</v>
      </c>
      <c r="F38" s="19" t="str">
        <f t="shared" si="1"/>
        <v>0</v>
      </c>
      <c r="G38" s="14"/>
      <c r="H38" s="16" t="s">
        <v>193</v>
      </c>
      <c r="I38" s="30" t="str">
        <f>'⚙️ Master Threshold'!E128</f>
        <v>10</v>
      </c>
      <c r="J38" s="14" t="str">
        <f t="shared" si="2"/>
        <v>🔴 KRITIS</v>
      </c>
      <c r="K38" s="13"/>
      <c r="L38" s="31" t="str">
        <f t="shared" si="3"/>
        <v>Cup Saos 50 ml</v>
      </c>
      <c r="M38" s="32" t="str">
        <f t="shared" si="4"/>
        <v>SEGERA RESTOCK!</v>
      </c>
      <c r="N38" s="13"/>
    </row>
    <row r="39" ht="18.0" customHeight="1">
      <c r="A39" s="14" t="str">
        <f t="shared" si="5"/>
        <v>33</v>
      </c>
      <c r="B39" s="9" t="s">
        <v>135</v>
      </c>
      <c r="C39" s="29">
        <v>50.0</v>
      </c>
      <c r="D39" s="28">
        <v>5.0</v>
      </c>
      <c r="E39" s="8" t="s">
        <v>209</v>
      </c>
      <c r="F39" s="19" t="str">
        <f t="shared" si="1"/>
        <v>55</v>
      </c>
      <c r="G39" s="8"/>
      <c r="H39" s="10" t="s">
        <v>193</v>
      </c>
      <c r="I39" s="30" t="str">
        <f>'⚙️ Master Threshold'!E129</f>
        <v>10</v>
      </c>
      <c r="J39" s="8" t="str">
        <f t="shared" si="2"/>
        <v>🟢 AMAN</v>
      </c>
      <c r="K39" s="13"/>
      <c r="L39" s="33" t="str">
        <f t="shared" si="3"/>
        <v/>
      </c>
      <c r="M39" s="34" t="str">
        <f t="shared" si="4"/>
        <v/>
      </c>
      <c r="N39" s="13"/>
    </row>
    <row r="40" ht="18.0" customHeight="1">
      <c r="A40" s="14" t="str">
        <f t="shared" si="5"/>
        <v>34</v>
      </c>
      <c r="B40" s="15" t="s">
        <v>136</v>
      </c>
      <c r="C40" s="29">
        <v>0.0</v>
      </c>
      <c r="D40" s="29">
        <v>0.0</v>
      </c>
      <c r="E40" s="14" t="s">
        <v>168</v>
      </c>
      <c r="F40" s="19" t="str">
        <f t="shared" si="1"/>
        <v>0</v>
      </c>
      <c r="G40" s="14"/>
      <c r="H40" s="16" t="s">
        <v>193</v>
      </c>
      <c r="I40" s="30" t="str">
        <f>'⚙️ Master Threshold'!E130</f>
        <v>5</v>
      </c>
      <c r="J40" s="14" t="str">
        <f t="shared" si="2"/>
        <v>🔴 KRITIS</v>
      </c>
      <c r="K40" s="13"/>
      <c r="L40" s="31" t="str">
        <f t="shared" si="3"/>
        <v>Matcha (sachet)</v>
      </c>
      <c r="M40" s="32" t="str">
        <f t="shared" si="4"/>
        <v>SEGERA RESTOCK!</v>
      </c>
      <c r="N40" s="13"/>
    </row>
    <row r="41" ht="18.0" customHeight="1">
      <c r="A41" s="14" t="str">
        <f t="shared" si="5"/>
        <v>35</v>
      </c>
      <c r="B41" s="9" t="s">
        <v>137</v>
      </c>
      <c r="C41" s="28">
        <v>7.0</v>
      </c>
      <c r="D41" s="29">
        <v>0.0</v>
      </c>
      <c r="E41" s="8" t="s">
        <v>168</v>
      </c>
      <c r="F41" s="19" t="str">
        <f t="shared" si="1"/>
        <v>7</v>
      </c>
      <c r="G41" s="8"/>
      <c r="H41" s="10" t="s">
        <v>193</v>
      </c>
      <c r="I41" s="30" t="str">
        <f>'⚙️ Master Threshold'!E131</f>
        <v>5</v>
      </c>
      <c r="J41" s="8" t="str">
        <f t="shared" si="2"/>
        <v>🟠 HAMPIR HABIS</v>
      </c>
      <c r="K41" s="13"/>
      <c r="L41" s="33" t="str">
        <f t="shared" si="3"/>
        <v/>
      </c>
      <c r="M41" s="34" t="str">
        <f t="shared" si="4"/>
        <v>Cek &amp; Restock</v>
      </c>
      <c r="N41" s="13"/>
    </row>
    <row r="42" ht="18.0" customHeight="1">
      <c r="A42" s="14" t="str">
        <f t="shared" si="5"/>
        <v>36</v>
      </c>
      <c r="B42" s="15" t="s">
        <v>138</v>
      </c>
      <c r="C42" s="29">
        <v>0.0</v>
      </c>
      <c r="D42" s="29">
        <v>491.0</v>
      </c>
      <c r="E42" s="14" t="s">
        <v>168</v>
      </c>
      <c r="F42" s="19" t="str">
        <f t="shared" si="1"/>
        <v>491</v>
      </c>
      <c r="G42" s="14"/>
      <c r="H42" s="16" t="s">
        <v>193</v>
      </c>
      <c r="I42" s="30" t="str">
        <f>'⚙️ Master Threshold'!E132</f>
        <v>5</v>
      </c>
      <c r="J42" s="14" t="str">
        <f t="shared" si="2"/>
        <v>🟢 AMAN</v>
      </c>
      <c r="K42" s="13"/>
      <c r="L42" s="31" t="str">
        <f t="shared" si="3"/>
        <v/>
      </c>
      <c r="M42" s="32" t="str">
        <f t="shared" si="4"/>
        <v/>
      </c>
      <c r="N42" s="13"/>
    </row>
    <row r="43" ht="18.0" customHeight="1">
      <c r="A43" s="14" t="str">
        <f t="shared" si="5"/>
        <v>37</v>
      </c>
      <c r="B43" s="9" t="s">
        <v>139</v>
      </c>
      <c r="C43" s="29">
        <v>0.0</v>
      </c>
      <c r="D43" s="29">
        <v>1.0</v>
      </c>
      <c r="E43" s="8" t="s">
        <v>186</v>
      </c>
      <c r="F43" s="19" t="str">
        <f t="shared" si="1"/>
        <v>1</v>
      </c>
      <c r="G43" s="8"/>
      <c r="H43" s="10" t="s">
        <v>193</v>
      </c>
      <c r="I43" s="30" t="str">
        <f>'⚙️ Master Threshold'!E133</f>
        <v>1</v>
      </c>
      <c r="J43" s="8" t="str">
        <f t="shared" si="2"/>
        <v>🔴 KRITIS</v>
      </c>
      <c r="K43" s="13"/>
      <c r="L43" s="33" t="str">
        <f t="shared" si="3"/>
        <v>Trash Bag</v>
      </c>
      <c r="M43" s="34" t="str">
        <f t="shared" si="4"/>
        <v>SEGERA RESTOCK!</v>
      </c>
      <c r="N43" s="13"/>
    </row>
    <row r="44" ht="18.0" customHeight="1">
      <c r="A44" s="14" t="str">
        <f t="shared" si="5"/>
        <v>38</v>
      </c>
      <c r="B44" s="15" t="s">
        <v>140</v>
      </c>
      <c r="C44" s="29">
        <v>0.0</v>
      </c>
      <c r="D44" s="29">
        <v>0.0</v>
      </c>
      <c r="E44" s="14" t="s">
        <v>186</v>
      </c>
      <c r="F44" s="19" t="str">
        <f t="shared" si="1"/>
        <v>0</v>
      </c>
      <c r="G44" s="14"/>
      <c r="H44" s="16" t="s">
        <v>193</v>
      </c>
      <c r="I44" s="30" t="str">
        <f>'⚙️ Master Threshold'!E134</f>
        <v>1</v>
      </c>
      <c r="J44" s="14" t="str">
        <f t="shared" si="2"/>
        <v>🔴 KRITIS</v>
      </c>
      <c r="K44" s="13"/>
      <c r="L44" s="31" t="str">
        <f t="shared" si="3"/>
        <v>Cup Bowl Mochikin</v>
      </c>
      <c r="M44" s="32" t="str">
        <f t="shared" si="4"/>
        <v>SEGERA RESTOCK!</v>
      </c>
      <c r="N44" s="13"/>
    </row>
    <row r="45" ht="18.0" customHeight="1">
      <c r="A45" s="14" t="str">
        <f t="shared" si="5"/>
        <v>39</v>
      </c>
      <c r="B45" s="9" t="s">
        <v>141</v>
      </c>
      <c r="C45" s="29">
        <v>0.0</v>
      </c>
      <c r="D45" s="29">
        <v>0.0</v>
      </c>
      <c r="E45" s="8" t="s">
        <v>234</v>
      </c>
      <c r="F45" s="19" t="str">
        <f t="shared" si="1"/>
        <v>0</v>
      </c>
      <c r="G45" s="8"/>
      <c r="H45" s="10" t="s">
        <v>193</v>
      </c>
      <c r="I45" s="30" t="str">
        <f>'⚙️ Master Threshold'!E135</f>
        <v>10</v>
      </c>
      <c r="J45" s="8" t="str">
        <f t="shared" si="2"/>
        <v>🔴 KRITIS</v>
      </c>
      <c r="K45" s="13"/>
      <c r="L45" s="33" t="str">
        <f t="shared" si="3"/>
        <v>Sticker Cup Bowl</v>
      </c>
      <c r="M45" s="34" t="str">
        <f t="shared" si="4"/>
        <v>SEGERA RESTOCK!</v>
      </c>
      <c r="N45" s="13"/>
    </row>
    <row r="46" ht="18.0" customHeight="1">
      <c r="A46" s="14" t="str">
        <f t="shared" si="5"/>
        <v>40</v>
      </c>
      <c r="B46" s="15" t="s">
        <v>142</v>
      </c>
      <c r="C46" s="29">
        <v>0.0</v>
      </c>
      <c r="D46" s="29">
        <v>0.0</v>
      </c>
      <c r="E46" s="14" t="s">
        <v>168</v>
      </c>
      <c r="F46" s="19" t="str">
        <f t="shared" si="1"/>
        <v>0</v>
      </c>
      <c r="G46" s="14"/>
      <c r="H46" s="16" t="s">
        <v>193</v>
      </c>
      <c r="I46" s="30" t="str">
        <f>'⚙️ Master Threshold'!E136</f>
        <v>1</v>
      </c>
      <c r="J46" s="14" t="str">
        <f t="shared" si="2"/>
        <v>🔴 KRITIS</v>
      </c>
      <c r="K46" s="13"/>
      <c r="L46" s="31" t="str">
        <f t="shared" si="3"/>
        <v>Cup Minuman Mochikin</v>
      </c>
      <c r="M46" s="32" t="str">
        <f t="shared" si="4"/>
        <v>SEGERA RESTOCK!</v>
      </c>
      <c r="N46" s="13"/>
    </row>
    <row r="47" ht="18.0" customHeight="1">
      <c r="A47" s="14" t="str">
        <f t="shared" si="5"/>
        <v>41</v>
      </c>
      <c r="B47" s="9" t="s">
        <v>143</v>
      </c>
      <c r="C47" s="29">
        <v>50.0</v>
      </c>
      <c r="D47" s="28">
        <v>29.0</v>
      </c>
      <c r="E47" s="8" t="s">
        <v>186</v>
      </c>
      <c r="F47" s="19" t="str">
        <f t="shared" si="1"/>
        <v>79</v>
      </c>
      <c r="G47" s="8"/>
      <c r="H47" s="10" t="s">
        <v>193</v>
      </c>
      <c r="I47" s="30" t="str">
        <f>'⚙️ Master Threshold'!E137</f>
        <v>1</v>
      </c>
      <c r="J47" s="8" t="str">
        <f t="shared" si="2"/>
        <v>🟢 AMAN</v>
      </c>
      <c r="K47" s="13"/>
      <c r="L47" s="33" t="str">
        <f t="shared" si="3"/>
        <v/>
      </c>
      <c r="M47" s="34" t="str">
        <f t="shared" si="4"/>
        <v/>
      </c>
      <c r="N47" s="13"/>
    </row>
    <row r="48" ht="18.0" customHeight="1">
      <c r="A48" s="14" t="str">
        <f t="shared" si="5"/>
        <v>42</v>
      </c>
      <c r="B48" s="15" t="s">
        <v>144</v>
      </c>
      <c r="C48" s="29">
        <v>0.0</v>
      </c>
      <c r="D48" s="29">
        <v>1.0</v>
      </c>
      <c r="E48" s="14" t="s">
        <v>238</v>
      </c>
      <c r="F48" s="19" t="str">
        <f t="shared" si="1"/>
        <v>1</v>
      </c>
      <c r="G48" s="14"/>
      <c r="H48" s="16" t="s">
        <v>193</v>
      </c>
      <c r="I48" s="30" t="str">
        <f>'⚙️ Master Threshold'!E138</f>
        <v>1</v>
      </c>
      <c r="J48" s="14" t="str">
        <f t="shared" si="2"/>
        <v>🔴 KRITIS</v>
      </c>
      <c r="K48" s="13"/>
      <c r="L48" s="31" t="str">
        <f t="shared" si="3"/>
        <v>Sealer Minuman</v>
      </c>
      <c r="M48" s="32" t="str">
        <f t="shared" si="4"/>
        <v>SEGERA RESTOCK!</v>
      </c>
      <c r="N48" s="13"/>
    </row>
    <row r="49" ht="18.0" customHeight="1">
      <c r="A49" s="14" t="str">
        <f t="shared" si="5"/>
        <v>43</v>
      </c>
      <c r="B49" s="9" t="s">
        <v>145</v>
      </c>
      <c r="C49" s="29">
        <v>0.0</v>
      </c>
      <c r="D49" s="29">
        <v>0.0</v>
      </c>
      <c r="E49" s="8" t="s">
        <v>168</v>
      </c>
      <c r="F49" s="19" t="str">
        <f t="shared" si="1"/>
        <v>0</v>
      </c>
      <c r="G49" s="8"/>
      <c r="H49" s="10" t="s">
        <v>193</v>
      </c>
      <c r="I49" s="30" t="str">
        <f>'⚙️ Master Threshold'!E139</f>
        <v>5</v>
      </c>
      <c r="J49" s="8" t="str">
        <f t="shared" si="2"/>
        <v>🔴 KRITIS</v>
      </c>
      <c r="K49" s="13"/>
      <c r="L49" s="33" t="str">
        <f t="shared" si="3"/>
        <v>Thinwal Bento</v>
      </c>
      <c r="M49" s="34" t="str">
        <f t="shared" si="4"/>
        <v>SEGERA RESTOCK!</v>
      </c>
      <c r="N49" s="13"/>
    </row>
    <row r="50" ht="18.0" customHeight="1">
      <c r="A50" s="14" t="str">
        <f t="shared" si="5"/>
        <v>44</v>
      </c>
      <c r="B50" s="15" t="s">
        <v>146</v>
      </c>
      <c r="C50" s="29">
        <v>0.0</v>
      </c>
      <c r="D50" s="29">
        <v>0.0</v>
      </c>
      <c r="E50" s="14" t="s">
        <v>168</v>
      </c>
      <c r="F50" s="19" t="str">
        <f t="shared" si="1"/>
        <v>0</v>
      </c>
      <c r="G50" s="14"/>
      <c r="H50" s="16" t="s">
        <v>193</v>
      </c>
      <c r="I50" s="30" t="str">
        <f>'⚙️ Master Threshold'!E140</f>
        <v>5</v>
      </c>
      <c r="J50" s="14" t="str">
        <f t="shared" si="2"/>
        <v>🔴 KRITIS</v>
      </c>
      <c r="K50" s="13"/>
      <c r="L50" s="31" t="str">
        <f t="shared" si="3"/>
        <v>Dus Silver</v>
      </c>
      <c r="M50" s="32" t="str">
        <f t="shared" si="4"/>
        <v>SEGERA RESTOCK!</v>
      </c>
      <c r="N50" s="13"/>
    </row>
    <row r="51" ht="21.75" customHeight="1">
      <c r="A51" s="18" t="s">
        <v>228</v>
      </c>
      <c r="B51" s="2"/>
      <c r="C51" s="2"/>
      <c r="D51" s="2"/>
      <c r="E51" s="2"/>
      <c r="F51" s="19" t="str">
        <f>COUNTA(B6:B50)-COUNTIF(B6:B50,"")</f>
        <v>43</v>
      </c>
      <c r="G51" s="18" t="s">
        <v>217</v>
      </c>
      <c r="H51" s="2"/>
      <c r="I51" s="2"/>
      <c r="J51" s="66" t="str">
        <f>COUNTIF(J6:J50,"🔴 KRITIS")</f>
        <v>21</v>
      </c>
      <c r="K51" s="67" t="str">
        <f>COUNTIF(J6:J50,"🟠 HAMPIR HABIS")&amp;" item hampir habis"</f>
        <v>8 item hampir habis</v>
      </c>
      <c r="L51" s="2"/>
      <c r="M51" s="2"/>
      <c r="N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</sheetData>
  <autoFilter ref="$A$5:$N$51"/>
  <mergeCells count="13">
    <mergeCell ref="E2:F2"/>
    <mergeCell ref="G2:H2"/>
    <mergeCell ref="K2:N2"/>
    <mergeCell ref="A4:N4"/>
    <mergeCell ref="A3:N3"/>
    <mergeCell ref="C2:D2"/>
    <mergeCell ref="A51:E51"/>
    <mergeCell ref="G51:I51"/>
    <mergeCell ref="K51:M51"/>
    <mergeCell ref="I2:J2"/>
    <mergeCell ref="A2:B2"/>
    <mergeCell ref="A1:N1"/>
    <mergeCell ref="A6:N6"/>
  </mergeCells>
  <conditionalFormatting sqref="A7:N50">
    <cfRule type="expression" dxfId="1" priority="1">
      <formula>$J7="🔴 KRITIS"</formula>
    </cfRule>
  </conditionalFormatting>
  <conditionalFormatting sqref="A7:N50">
    <cfRule type="expression" dxfId="2" priority="2">
      <formula>$J7="🟠 HAMPIR HABIS"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18.0"/>
    <col customWidth="1" min="4" max="4" width="21.14"/>
    <col customWidth="1" min="5" max="5" width="22.0"/>
    <col customWidth="1" min="6" max="6" width="30.0"/>
  </cols>
  <sheetData>
    <row r="1" ht="36.0" customHeight="1">
      <c r="A1" s="1" t="s">
        <v>239</v>
      </c>
      <c r="B1" s="2"/>
      <c r="C1" s="2"/>
      <c r="D1" s="2"/>
      <c r="E1" s="2"/>
      <c r="F1" s="2"/>
    </row>
    <row r="2" ht="19.5" customHeight="1">
      <c r="A2" s="21" t="s">
        <v>150</v>
      </c>
      <c r="B2" s="2"/>
      <c r="C2" s="69">
        <v>46257.0</v>
      </c>
      <c r="D2" s="2"/>
      <c r="E2" s="24" t="str">
        <f>TEXT(C2,"DDDD")</f>
        <v>Sunday</v>
      </c>
      <c r="F2" s="2"/>
    </row>
    <row r="3" ht="6.0" customHeight="1">
      <c r="A3" s="68"/>
      <c r="B3" s="68"/>
      <c r="C3" s="68"/>
      <c r="D3" s="68"/>
      <c r="E3" s="68"/>
      <c r="F3" s="68"/>
    </row>
    <row r="4" ht="30.0" customHeight="1">
      <c r="A4" s="6" t="s">
        <v>2</v>
      </c>
      <c r="B4" s="6" t="s">
        <v>240</v>
      </c>
      <c r="C4" s="6" t="s">
        <v>241</v>
      </c>
      <c r="D4" s="6" t="s">
        <v>242</v>
      </c>
      <c r="E4" s="6" t="s">
        <v>243</v>
      </c>
      <c r="F4" s="6" t="s">
        <v>244</v>
      </c>
    </row>
    <row r="5" ht="21.75" customHeight="1">
      <c r="A5" s="8" t="s">
        <v>245</v>
      </c>
      <c r="B5" s="9" t="s">
        <v>246</v>
      </c>
      <c r="C5" s="73" t="s">
        <v>247</v>
      </c>
      <c r="D5" s="74">
        <v>46252.0</v>
      </c>
      <c r="E5" s="73"/>
      <c r="F5" s="75" t="s">
        <v>248</v>
      </c>
    </row>
    <row r="6" ht="21.75" customHeight="1">
      <c r="A6" s="14" t="s">
        <v>249</v>
      </c>
      <c r="B6" s="15" t="s">
        <v>250</v>
      </c>
      <c r="C6" s="73" t="s">
        <v>251</v>
      </c>
      <c r="D6" s="76">
        <v>46257.0</v>
      </c>
      <c r="E6" s="73"/>
      <c r="F6" s="75" t="s">
        <v>252</v>
      </c>
    </row>
    <row r="7" ht="21.75" customHeight="1">
      <c r="A7" s="8" t="s">
        <v>253</v>
      </c>
      <c r="B7" s="9" t="s">
        <v>254</v>
      </c>
      <c r="C7" s="77" t="s">
        <v>255</v>
      </c>
      <c r="D7" s="73" t="s">
        <v>256</v>
      </c>
      <c r="E7" s="73"/>
      <c r="F7" s="78" t="s">
        <v>248</v>
      </c>
    </row>
    <row r="8" ht="21.75" customHeight="1">
      <c r="A8" s="14" t="s">
        <v>257</v>
      </c>
      <c r="B8" s="15" t="s">
        <v>258</v>
      </c>
      <c r="C8" s="73" t="s">
        <v>247</v>
      </c>
      <c r="D8" s="73" t="s">
        <v>259</v>
      </c>
      <c r="E8" s="73"/>
      <c r="F8" s="75" t="s">
        <v>248</v>
      </c>
    </row>
    <row r="9" ht="21.75" customHeight="1">
      <c r="A9" s="8" t="s">
        <v>260</v>
      </c>
      <c r="B9" s="9" t="s">
        <v>261</v>
      </c>
      <c r="C9" s="73" t="s">
        <v>251</v>
      </c>
      <c r="D9" s="73"/>
      <c r="E9" s="77">
        <v>1436.0</v>
      </c>
      <c r="F9" s="78">
        <v>22.1</v>
      </c>
    </row>
    <row r="10" ht="21.75" customHeight="1">
      <c r="A10" s="14" t="s">
        <v>262</v>
      </c>
      <c r="B10" s="15" t="s">
        <v>263</v>
      </c>
      <c r="C10" s="73" t="s">
        <v>251</v>
      </c>
      <c r="D10" s="73" t="s">
        <v>264</v>
      </c>
      <c r="E10" s="73"/>
      <c r="F10" s="75"/>
    </row>
    <row r="11" ht="21.75" customHeight="1">
      <c r="A11" s="8" t="s">
        <v>265</v>
      </c>
      <c r="B11" s="9" t="s">
        <v>266</v>
      </c>
      <c r="C11" s="73" t="s">
        <v>251</v>
      </c>
      <c r="D11" s="73"/>
      <c r="E11" s="73"/>
      <c r="F11" s="75"/>
    </row>
    <row r="12">
      <c r="A12" s="68"/>
      <c r="B12" s="68"/>
      <c r="C12" s="68"/>
      <c r="D12" s="68"/>
      <c r="E12" s="68"/>
      <c r="F12" s="68"/>
    </row>
    <row r="13">
      <c r="A13" s="68"/>
      <c r="B13" s="68"/>
      <c r="C13" s="68"/>
      <c r="D13" s="68"/>
      <c r="E13" s="68"/>
      <c r="F13" s="68"/>
    </row>
    <row r="14">
      <c r="A14" s="68"/>
      <c r="B14" s="68"/>
      <c r="C14" s="68"/>
      <c r="D14" s="68"/>
      <c r="E14" s="68"/>
      <c r="F14" s="68"/>
    </row>
    <row r="15">
      <c r="A15" s="68"/>
      <c r="B15" s="68"/>
      <c r="C15" s="68"/>
      <c r="D15" s="68"/>
      <c r="E15" s="68"/>
      <c r="F15" s="68"/>
    </row>
    <row r="16">
      <c r="A16" s="68"/>
      <c r="B16" s="68"/>
      <c r="C16" s="68"/>
      <c r="D16" s="68"/>
      <c r="E16" s="68"/>
      <c r="F16" s="68"/>
    </row>
    <row r="17">
      <c r="A17" s="68"/>
      <c r="B17" s="68"/>
      <c r="C17" s="68"/>
      <c r="D17" s="68"/>
      <c r="E17" s="68"/>
      <c r="F17" s="68"/>
    </row>
    <row r="18">
      <c r="A18" s="68"/>
      <c r="B18" s="68"/>
      <c r="C18" s="68"/>
      <c r="D18" s="68"/>
      <c r="E18" s="68"/>
      <c r="F18" s="68"/>
    </row>
    <row r="19">
      <c r="A19" s="68"/>
      <c r="B19" s="68"/>
      <c r="C19" s="68"/>
      <c r="D19" s="68"/>
      <c r="E19" s="68"/>
      <c r="F19" s="68"/>
    </row>
    <row r="20">
      <c r="A20" s="68"/>
      <c r="B20" s="68"/>
      <c r="C20" s="68"/>
      <c r="D20" s="68"/>
      <c r="E20" s="68"/>
      <c r="F20" s="68"/>
    </row>
    <row r="21" ht="15.75" customHeight="1">
      <c r="A21" s="68"/>
      <c r="B21" s="68"/>
      <c r="C21" s="68"/>
      <c r="D21" s="68"/>
      <c r="E21" s="68"/>
      <c r="F21" s="68"/>
    </row>
    <row r="22" ht="15.75" customHeight="1">
      <c r="A22" s="68"/>
      <c r="B22" s="68"/>
      <c r="C22" s="68"/>
      <c r="D22" s="68"/>
      <c r="E22" s="68"/>
      <c r="F22" s="68"/>
    </row>
    <row r="23" ht="15.75" customHeight="1">
      <c r="A23" s="68"/>
      <c r="B23" s="68"/>
      <c r="C23" s="68"/>
      <c r="D23" s="68"/>
      <c r="E23" s="68"/>
      <c r="F23" s="68"/>
    </row>
    <row r="24" ht="15.75" customHeight="1">
      <c r="A24" s="68"/>
      <c r="B24" s="68"/>
      <c r="C24" s="68"/>
      <c r="D24" s="68"/>
      <c r="E24" s="68"/>
      <c r="F24" s="68"/>
    </row>
    <row r="25" ht="15.75" customHeight="1">
      <c r="A25" s="68"/>
      <c r="B25" s="68"/>
      <c r="C25" s="68"/>
      <c r="D25" s="68"/>
      <c r="E25" s="68"/>
      <c r="F25" s="68"/>
    </row>
    <row r="26" ht="15.75" customHeight="1">
      <c r="A26" s="68"/>
      <c r="B26" s="68"/>
      <c r="C26" s="68"/>
      <c r="D26" s="68"/>
      <c r="E26" s="68"/>
      <c r="F26" s="68"/>
    </row>
    <row r="27" ht="15.75" customHeight="1">
      <c r="A27" s="68"/>
      <c r="B27" s="68"/>
      <c r="C27" s="68"/>
      <c r="D27" s="68"/>
      <c r="E27" s="68"/>
      <c r="F27" s="68"/>
    </row>
    <row r="28" ht="15.75" customHeight="1">
      <c r="A28" s="68"/>
      <c r="B28" s="68"/>
      <c r="C28" s="68"/>
      <c r="D28" s="68"/>
      <c r="E28" s="68"/>
      <c r="F28" s="68"/>
    </row>
    <row r="29" ht="15.75" customHeight="1">
      <c r="A29" s="68"/>
      <c r="B29" s="68"/>
      <c r="C29" s="68"/>
      <c r="D29" s="68"/>
      <c r="E29" s="68"/>
      <c r="F29" s="68"/>
    </row>
    <row r="30" ht="15.75" customHeight="1">
      <c r="A30" s="68"/>
      <c r="B30" s="68"/>
      <c r="C30" s="68"/>
      <c r="D30" s="68"/>
      <c r="E30" s="68"/>
      <c r="F30" s="68"/>
    </row>
    <row r="31" ht="15.75" customHeight="1">
      <c r="A31" s="68"/>
      <c r="B31" s="68"/>
      <c r="C31" s="68"/>
      <c r="D31" s="68"/>
      <c r="E31" s="68"/>
      <c r="F31" s="68"/>
    </row>
    <row r="32" ht="15.75" customHeight="1">
      <c r="A32" s="68"/>
      <c r="B32" s="68"/>
      <c r="C32" s="68"/>
      <c r="D32" s="68"/>
      <c r="E32" s="68"/>
      <c r="F32" s="68"/>
    </row>
    <row r="33" ht="15.75" customHeight="1">
      <c r="A33" s="68"/>
      <c r="B33" s="68"/>
      <c r="C33" s="68"/>
      <c r="D33" s="68"/>
      <c r="E33" s="68"/>
      <c r="F33" s="68"/>
    </row>
    <row r="34" ht="15.75" customHeight="1">
      <c r="A34" s="68"/>
      <c r="B34" s="68"/>
      <c r="C34" s="68"/>
      <c r="D34" s="68"/>
      <c r="E34" s="68"/>
      <c r="F34" s="68"/>
    </row>
    <row r="35" ht="15.75" customHeight="1">
      <c r="A35" s="68"/>
      <c r="B35" s="68"/>
      <c r="C35" s="68"/>
      <c r="D35" s="68"/>
      <c r="E35" s="68"/>
      <c r="F35" s="68"/>
    </row>
    <row r="36" ht="15.75" customHeight="1">
      <c r="A36" s="68"/>
      <c r="B36" s="68"/>
      <c r="C36" s="68"/>
      <c r="D36" s="68"/>
      <c r="E36" s="68"/>
      <c r="F36" s="68"/>
    </row>
    <row r="37" ht="15.75" customHeight="1">
      <c r="A37" s="68"/>
      <c r="B37" s="68"/>
      <c r="C37" s="68"/>
      <c r="D37" s="68"/>
      <c r="E37" s="68"/>
      <c r="F37" s="68"/>
    </row>
    <row r="38" ht="15.75" customHeight="1">
      <c r="A38" s="68"/>
      <c r="B38" s="68"/>
      <c r="C38" s="68"/>
      <c r="D38" s="68"/>
      <c r="E38" s="68"/>
      <c r="F38" s="68"/>
    </row>
    <row r="39" ht="15.75" customHeight="1">
      <c r="A39" s="68"/>
      <c r="B39" s="68"/>
      <c r="C39" s="68"/>
      <c r="D39" s="68"/>
      <c r="E39" s="68"/>
      <c r="F39" s="68"/>
    </row>
    <row r="40" ht="15.75" customHeight="1">
      <c r="A40" s="68"/>
      <c r="B40" s="68"/>
      <c r="C40" s="68"/>
      <c r="D40" s="68"/>
      <c r="E40" s="68"/>
      <c r="F40" s="68"/>
    </row>
    <row r="41" ht="15.75" customHeight="1">
      <c r="A41" s="68"/>
      <c r="B41" s="68"/>
      <c r="C41" s="68"/>
      <c r="D41" s="68"/>
      <c r="E41" s="68"/>
      <c r="F41" s="68"/>
    </row>
    <row r="42" ht="15.75" customHeight="1">
      <c r="A42" s="68"/>
      <c r="B42" s="68"/>
      <c r="C42" s="68"/>
      <c r="D42" s="68"/>
      <c r="E42" s="68"/>
      <c r="F42" s="68"/>
    </row>
    <row r="43" ht="15.75" customHeight="1">
      <c r="A43" s="68"/>
      <c r="B43" s="68"/>
      <c r="C43" s="68"/>
      <c r="D43" s="68"/>
      <c r="E43" s="68"/>
      <c r="F43" s="68"/>
    </row>
    <row r="44" ht="15.75" customHeight="1">
      <c r="A44" s="68"/>
      <c r="B44" s="68"/>
      <c r="C44" s="68"/>
      <c r="D44" s="68"/>
      <c r="E44" s="68"/>
      <c r="F44" s="68"/>
    </row>
    <row r="45" ht="15.75" customHeight="1">
      <c r="A45" s="68"/>
      <c r="B45" s="68"/>
      <c r="C45" s="68"/>
      <c r="D45" s="68"/>
      <c r="E45" s="68"/>
      <c r="F45" s="68"/>
    </row>
    <row r="46" ht="15.75" customHeight="1">
      <c r="A46" s="68"/>
      <c r="B46" s="68"/>
      <c r="C46" s="68"/>
      <c r="D46" s="68"/>
      <c r="E46" s="68"/>
      <c r="F46" s="68"/>
    </row>
    <row r="47" ht="15.75" customHeight="1">
      <c r="A47" s="68"/>
      <c r="B47" s="68"/>
      <c r="C47" s="68"/>
      <c r="D47" s="68"/>
      <c r="E47" s="68"/>
      <c r="F47" s="68"/>
    </row>
    <row r="48" ht="15.75" customHeight="1">
      <c r="A48" s="68"/>
      <c r="B48" s="68"/>
      <c r="C48" s="68"/>
      <c r="D48" s="68"/>
      <c r="E48" s="68"/>
      <c r="F48" s="68"/>
    </row>
    <row r="49" ht="15.75" customHeight="1">
      <c r="A49" s="68"/>
      <c r="B49" s="68"/>
      <c r="C49" s="68"/>
      <c r="D49" s="68"/>
      <c r="E49" s="68"/>
      <c r="F49" s="68"/>
    </row>
    <row r="50" ht="15.75" customHeight="1">
      <c r="A50" s="68"/>
      <c r="B50" s="68"/>
      <c r="C50" s="68"/>
      <c r="D50" s="68"/>
      <c r="E50" s="68"/>
      <c r="F50" s="68"/>
    </row>
    <row r="51" ht="15.75" customHeight="1">
      <c r="A51" s="68"/>
      <c r="B51" s="68"/>
      <c r="C51" s="68"/>
      <c r="D51" s="68"/>
      <c r="E51" s="68"/>
      <c r="F51" s="68"/>
    </row>
    <row r="52" ht="15.75" customHeight="1">
      <c r="A52" s="68"/>
      <c r="B52" s="68"/>
      <c r="C52" s="68"/>
      <c r="D52" s="68"/>
      <c r="E52" s="68"/>
      <c r="F52" s="68"/>
    </row>
    <row r="53" ht="15.75" customHeight="1">
      <c r="A53" s="68"/>
      <c r="B53" s="68"/>
      <c r="C53" s="68"/>
      <c r="D53" s="68"/>
      <c r="E53" s="68"/>
      <c r="F53" s="68"/>
    </row>
    <row r="54" ht="15.75" customHeight="1">
      <c r="A54" s="68"/>
      <c r="B54" s="68"/>
      <c r="C54" s="68"/>
      <c r="D54" s="68"/>
      <c r="E54" s="68"/>
      <c r="F54" s="68"/>
    </row>
    <row r="55" ht="15.75" customHeight="1">
      <c r="A55" s="68"/>
      <c r="B55" s="68"/>
      <c r="C55" s="68"/>
      <c r="D55" s="68"/>
      <c r="E55" s="68"/>
      <c r="F55" s="68"/>
    </row>
    <row r="56" ht="15.75" customHeight="1">
      <c r="A56" s="68"/>
      <c r="B56" s="68"/>
      <c r="C56" s="68"/>
      <c r="D56" s="68"/>
      <c r="E56" s="68"/>
      <c r="F56" s="68"/>
    </row>
    <row r="57" ht="15.75" customHeight="1">
      <c r="A57" s="68"/>
      <c r="B57" s="68"/>
      <c r="C57" s="68"/>
      <c r="D57" s="68"/>
      <c r="E57" s="68"/>
      <c r="F57" s="68"/>
    </row>
    <row r="58" ht="15.75" customHeight="1">
      <c r="A58" s="68"/>
      <c r="B58" s="68"/>
      <c r="C58" s="68"/>
      <c r="D58" s="68"/>
      <c r="E58" s="68"/>
      <c r="F58" s="68"/>
    </row>
    <row r="59" ht="15.75" customHeight="1">
      <c r="A59" s="68"/>
      <c r="B59" s="68"/>
      <c r="C59" s="68"/>
      <c r="D59" s="68"/>
      <c r="E59" s="68"/>
      <c r="F59" s="68"/>
    </row>
    <row r="60" ht="15.75" customHeight="1">
      <c r="A60" s="68"/>
      <c r="B60" s="68"/>
      <c r="C60" s="68"/>
      <c r="D60" s="68"/>
      <c r="E60" s="68"/>
      <c r="F60" s="68"/>
    </row>
    <row r="61" ht="15.75" customHeight="1">
      <c r="A61" s="68"/>
      <c r="B61" s="68"/>
      <c r="C61" s="68"/>
      <c r="D61" s="68"/>
      <c r="E61" s="68"/>
      <c r="F61" s="68"/>
    </row>
    <row r="62" ht="15.75" customHeight="1">
      <c r="A62" s="68"/>
      <c r="B62" s="68"/>
      <c r="C62" s="68"/>
      <c r="D62" s="68"/>
      <c r="E62" s="68"/>
      <c r="F62" s="68"/>
    </row>
    <row r="63" ht="15.75" customHeight="1">
      <c r="A63" s="68"/>
      <c r="B63" s="68"/>
      <c r="C63" s="68"/>
      <c r="D63" s="68"/>
      <c r="E63" s="68"/>
      <c r="F63" s="68"/>
    </row>
    <row r="64" ht="15.75" customHeight="1">
      <c r="A64" s="68"/>
      <c r="B64" s="68"/>
      <c r="C64" s="68"/>
      <c r="D64" s="68"/>
      <c r="E64" s="68"/>
      <c r="F64" s="68"/>
    </row>
    <row r="65" ht="15.75" customHeight="1">
      <c r="A65" s="68"/>
      <c r="B65" s="68"/>
      <c r="C65" s="68"/>
      <c r="D65" s="68"/>
      <c r="E65" s="68"/>
      <c r="F65" s="68"/>
    </row>
    <row r="66" ht="15.75" customHeight="1">
      <c r="A66" s="68"/>
      <c r="B66" s="68"/>
      <c r="C66" s="68"/>
      <c r="D66" s="68"/>
      <c r="E66" s="68"/>
      <c r="F66" s="68"/>
    </row>
    <row r="67" ht="15.75" customHeight="1">
      <c r="A67" s="68"/>
      <c r="B67" s="68"/>
      <c r="C67" s="68"/>
      <c r="D67" s="68"/>
      <c r="E67" s="68"/>
      <c r="F67" s="68"/>
    </row>
    <row r="68" ht="15.75" customHeight="1">
      <c r="A68" s="68"/>
      <c r="B68" s="68"/>
      <c r="C68" s="68"/>
      <c r="D68" s="68"/>
      <c r="E68" s="68"/>
      <c r="F68" s="68"/>
    </row>
    <row r="69" ht="15.75" customHeight="1">
      <c r="A69" s="68"/>
      <c r="B69" s="68"/>
      <c r="C69" s="68"/>
      <c r="D69" s="68"/>
      <c r="E69" s="68"/>
      <c r="F69" s="68"/>
    </row>
    <row r="70" ht="15.75" customHeight="1">
      <c r="A70" s="68"/>
      <c r="B70" s="68"/>
      <c r="C70" s="68"/>
      <c r="D70" s="68"/>
      <c r="E70" s="68"/>
      <c r="F70" s="68"/>
    </row>
    <row r="71" ht="15.75" customHeight="1">
      <c r="A71" s="68"/>
      <c r="B71" s="68"/>
      <c r="C71" s="68"/>
      <c r="D71" s="68"/>
      <c r="E71" s="68"/>
      <c r="F71" s="68"/>
    </row>
    <row r="72" ht="15.75" customHeight="1">
      <c r="A72" s="68"/>
      <c r="B72" s="68"/>
      <c r="C72" s="68"/>
      <c r="D72" s="68"/>
      <c r="E72" s="68"/>
      <c r="F72" s="68"/>
    </row>
    <row r="73" ht="15.75" customHeight="1">
      <c r="A73" s="68"/>
      <c r="B73" s="68"/>
      <c r="C73" s="68"/>
      <c r="D73" s="68"/>
      <c r="E73" s="68"/>
      <c r="F73" s="68"/>
    </row>
    <row r="74" ht="15.75" customHeight="1">
      <c r="A74" s="68"/>
      <c r="B74" s="68"/>
      <c r="C74" s="68"/>
      <c r="D74" s="68"/>
      <c r="E74" s="68"/>
      <c r="F74" s="68"/>
    </row>
    <row r="75" ht="15.75" customHeight="1">
      <c r="A75" s="68"/>
      <c r="B75" s="68"/>
      <c r="C75" s="68"/>
      <c r="D75" s="68"/>
      <c r="E75" s="68"/>
      <c r="F75" s="68"/>
    </row>
    <row r="76" ht="15.75" customHeight="1">
      <c r="A76" s="68"/>
      <c r="B76" s="68"/>
      <c r="C76" s="68"/>
      <c r="D76" s="68"/>
      <c r="E76" s="68"/>
      <c r="F76" s="68"/>
    </row>
    <row r="77" ht="15.75" customHeight="1">
      <c r="A77" s="68"/>
      <c r="B77" s="68"/>
      <c r="C77" s="68"/>
      <c r="D77" s="68"/>
      <c r="E77" s="68"/>
      <c r="F77" s="68"/>
    </row>
    <row r="78" ht="15.75" customHeight="1">
      <c r="A78" s="68"/>
      <c r="B78" s="68"/>
      <c r="C78" s="68"/>
      <c r="D78" s="68"/>
      <c r="E78" s="68"/>
      <c r="F78" s="68"/>
    </row>
    <row r="79" ht="15.75" customHeight="1">
      <c r="A79" s="68"/>
      <c r="B79" s="68"/>
      <c r="C79" s="68"/>
      <c r="D79" s="68"/>
      <c r="E79" s="68"/>
      <c r="F79" s="68"/>
    </row>
    <row r="80" ht="15.75" customHeight="1">
      <c r="A80" s="68"/>
      <c r="B80" s="68"/>
      <c r="C80" s="68"/>
      <c r="D80" s="68"/>
      <c r="E80" s="68"/>
      <c r="F80" s="68"/>
    </row>
    <row r="81" ht="15.75" customHeight="1">
      <c r="A81" s="68"/>
      <c r="B81" s="68"/>
      <c r="C81" s="68"/>
      <c r="D81" s="68"/>
      <c r="E81" s="68"/>
      <c r="F81" s="68"/>
    </row>
    <row r="82" ht="15.75" customHeight="1">
      <c r="A82" s="68"/>
      <c r="B82" s="68"/>
      <c r="C82" s="68"/>
      <c r="D82" s="68"/>
      <c r="E82" s="68"/>
      <c r="F82" s="68"/>
    </row>
    <row r="83" ht="15.75" customHeight="1">
      <c r="A83" s="68"/>
      <c r="B83" s="68"/>
      <c r="C83" s="68"/>
      <c r="D83" s="68"/>
      <c r="E83" s="68"/>
      <c r="F83" s="68"/>
    </row>
    <row r="84" ht="15.75" customHeight="1">
      <c r="A84" s="68"/>
      <c r="B84" s="68"/>
      <c r="C84" s="68"/>
      <c r="D84" s="68"/>
      <c r="E84" s="68"/>
      <c r="F84" s="68"/>
    </row>
    <row r="85" ht="15.75" customHeight="1">
      <c r="A85" s="68"/>
      <c r="B85" s="68"/>
      <c r="C85" s="68"/>
      <c r="D85" s="68"/>
      <c r="E85" s="68"/>
      <c r="F85" s="68"/>
    </row>
    <row r="86" ht="15.75" customHeight="1">
      <c r="A86" s="68"/>
      <c r="B86" s="68"/>
      <c r="C86" s="68"/>
      <c r="D86" s="68"/>
      <c r="E86" s="68"/>
      <c r="F86" s="68"/>
    </row>
    <row r="87" ht="15.75" customHeight="1">
      <c r="A87" s="68"/>
      <c r="B87" s="68"/>
      <c r="C87" s="68"/>
      <c r="D87" s="68"/>
      <c r="E87" s="68"/>
      <c r="F87" s="68"/>
    </row>
    <row r="88" ht="15.75" customHeight="1">
      <c r="A88" s="68"/>
      <c r="B88" s="68"/>
      <c r="C88" s="68"/>
      <c r="D88" s="68"/>
      <c r="E88" s="68"/>
      <c r="F88" s="68"/>
    </row>
    <row r="89" ht="15.75" customHeight="1">
      <c r="A89" s="68"/>
      <c r="B89" s="68"/>
      <c r="C89" s="68"/>
      <c r="D89" s="68"/>
      <c r="E89" s="68"/>
      <c r="F89" s="68"/>
    </row>
    <row r="90" ht="15.75" customHeight="1">
      <c r="A90" s="68"/>
      <c r="B90" s="68"/>
      <c r="C90" s="68"/>
      <c r="D90" s="68"/>
      <c r="E90" s="68"/>
      <c r="F90" s="68"/>
    </row>
    <row r="91" ht="15.75" customHeight="1">
      <c r="A91" s="68"/>
      <c r="B91" s="68"/>
      <c r="C91" s="68"/>
      <c r="D91" s="68"/>
      <c r="E91" s="68"/>
      <c r="F91" s="68"/>
    </row>
    <row r="92" ht="15.75" customHeight="1">
      <c r="A92" s="68"/>
      <c r="B92" s="68"/>
      <c r="C92" s="68"/>
      <c r="D92" s="68"/>
      <c r="E92" s="68"/>
      <c r="F92" s="68"/>
    </row>
    <row r="93" ht="15.75" customHeight="1">
      <c r="A93" s="68"/>
      <c r="B93" s="68"/>
      <c r="C93" s="68"/>
      <c r="D93" s="68"/>
      <c r="E93" s="68"/>
      <c r="F93" s="68"/>
    </row>
    <row r="94" ht="15.75" customHeight="1">
      <c r="A94" s="68"/>
      <c r="B94" s="68"/>
      <c r="C94" s="68"/>
      <c r="D94" s="68"/>
      <c r="E94" s="68"/>
      <c r="F94" s="68"/>
    </row>
    <row r="95" ht="15.75" customHeight="1">
      <c r="A95" s="68"/>
      <c r="B95" s="68"/>
      <c r="C95" s="68"/>
      <c r="D95" s="68"/>
      <c r="E95" s="68"/>
      <c r="F95" s="68"/>
    </row>
    <row r="96" ht="15.75" customHeight="1">
      <c r="A96" s="68"/>
      <c r="B96" s="68"/>
      <c r="C96" s="68"/>
      <c r="D96" s="68"/>
      <c r="E96" s="68"/>
      <c r="F96" s="68"/>
    </row>
    <row r="97" ht="15.75" customHeight="1">
      <c r="A97" s="68"/>
      <c r="B97" s="68"/>
      <c r="C97" s="68"/>
      <c r="D97" s="68"/>
      <c r="E97" s="68"/>
      <c r="F97" s="68"/>
    </row>
    <row r="98" ht="15.75" customHeight="1">
      <c r="A98" s="68"/>
      <c r="B98" s="68"/>
      <c r="C98" s="68"/>
      <c r="D98" s="68"/>
      <c r="E98" s="68"/>
      <c r="F98" s="68"/>
    </row>
    <row r="99" ht="15.75" customHeight="1">
      <c r="A99" s="68"/>
      <c r="B99" s="68"/>
      <c r="C99" s="68"/>
      <c r="D99" s="68"/>
      <c r="E99" s="68"/>
      <c r="F99" s="68"/>
    </row>
    <row r="100" ht="15.75" customHeight="1">
      <c r="A100" s="68"/>
      <c r="B100" s="68"/>
      <c r="C100" s="68"/>
      <c r="D100" s="68"/>
      <c r="E100" s="68"/>
      <c r="F100" s="6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autoFilter ref="$A$1:$F$2"/>
  <mergeCells count="4">
    <mergeCell ref="A1:F1"/>
    <mergeCell ref="A2:B2"/>
    <mergeCell ref="C2:D2"/>
    <mergeCell ref="E2:F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2.0"/>
    <col customWidth="1" min="3" max="5" width="14.0"/>
    <col customWidth="1" min="6" max="7" width="15.86"/>
    <col customWidth="1" min="8" max="8" width="5.0"/>
  </cols>
  <sheetData>
    <row r="1" ht="42.0" customHeight="1">
      <c r="A1" s="79" t="s">
        <v>267</v>
      </c>
      <c r="B1" s="2"/>
      <c r="C1" s="2"/>
      <c r="D1" s="2"/>
      <c r="E1" s="2"/>
      <c r="F1" s="2"/>
      <c r="G1" s="2"/>
      <c r="H1" s="2"/>
    </row>
    <row r="2" ht="21.75" customHeight="1">
      <c r="A2" s="80" t="s">
        <v>268</v>
      </c>
      <c r="B2" s="2"/>
      <c r="C2" s="2"/>
      <c r="D2" s="81" t="str">
        <f>'Meja Biru + Chiller'!C2</f>
        <v>8/23/2026</v>
      </c>
      <c r="E2" s="2"/>
      <c r="F2" s="2"/>
      <c r="G2" s="68"/>
      <c r="H2" s="68"/>
    </row>
    <row r="3">
      <c r="A3" s="68"/>
      <c r="B3" s="68"/>
      <c r="C3" s="68"/>
      <c r="D3" s="68"/>
      <c r="E3" s="68"/>
      <c r="F3" s="68"/>
      <c r="G3" s="68"/>
      <c r="H3" s="68"/>
    </row>
    <row r="4" ht="27.75" customHeight="1">
      <c r="A4" s="6" t="s">
        <v>2</v>
      </c>
      <c r="B4" s="6" t="s">
        <v>269</v>
      </c>
      <c r="C4" s="6" t="s">
        <v>270</v>
      </c>
      <c r="D4" s="6" t="s">
        <v>271</v>
      </c>
      <c r="E4" s="6" t="s">
        <v>272</v>
      </c>
      <c r="F4" s="6" t="s">
        <v>273</v>
      </c>
      <c r="G4" s="6" t="s">
        <v>274</v>
      </c>
      <c r="H4" s="6"/>
    </row>
    <row r="5" ht="21.75" customHeight="1">
      <c r="A5" s="8">
        <v>1.0</v>
      </c>
      <c r="B5" s="9" t="s">
        <v>275</v>
      </c>
      <c r="C5" s="8" t="str">
        <f>COUNTA('Meja Biru + Chiller'!B:B)-COUNTIF('Meja Biru + Chiller'!B:B,"")-1</f>
        <v>-148</v>
      </c>
      <c r="D5" s="66" t="str">
        <f>COUNTIF('Meja Biru + Chiller'!J:J,"🔴 KRITIS")</f>
        <v>11</v>
      </c>
      <c r="E5" s="82" t="str">
        <f>COUNTIF('Meja Biru + Chiller'!J:J,"🟠 HAMPIR HABIS")</f>
        <v>7</v>
      </c>
      <c r="F5" s="19" t="str">
        <f>COUNTIF('Meja Biru + Chiller'!J:J,"🟢 AMAN")</f>
        <v>35</v>
      </c>
      <c r="G5" s="83" t="str">
        <f t="shared" ref="G5:G8" si="1">IF(C5=0,"—",D5/C5)</f>
        <v>-7%</v>
      </c>
      <c r="H5" s="13"/>
    </row>
    <row r="6" ht="21.75" customHeight="1">
      <c r="A6" s="14">
        <v>2.0</v>
      </c>
      <c r="B6" s="15" t="s">
        <v>71</v>
      </c>
      <c r="C6" s="14" t="str">
        <f>COUNTA('Freezer &amp; Alat'!B:B)-COUNTIF('Freezer &amp; Alat'!B:B,"")-1</f>
        <v>-177</v>
      </c>
      <c r="D6" s="66" t="str">
        <f>COUNTIF('Freezer &amp; Alat'!J:J,"🔴 KRITIS")</f>
        <v>15</v>
      </c>
      <c r="E6" s="82" t="str">
        <f>COUNTIF('Freezer &amp; Alat'!J:J,"🟠 HAMPIR HABIS")</f>
        <v>4</v>
      </c>
      <c r="F6" s="19" t="str">
        <f>COUNTIF('Freezer &amp; Alat'!J:J,"🟢 AMAN")</f>
        <v>11</v>
      </c>
      <c r="G6" s="84" t="str">
        <f t="shared" si="1"/>
        <v>-8%</v>
      </c>
      <c r="H6" s="13"/>
    </row>
    <row r="7" ht="21.75" customHeight="1">
      <c r="A7" s="8">
        <v>3.0</v>
      </c>
      <c r="B7" s="9" t="s">
        <v>276</v>
      </c>
      <c r="C7" s="8" t="s">
        <v>104</v>
      </c>
      <c r="D7" s="66" t="s">
        <v>104</v>
      </c>
      <c r="E7" s="82" t="s">
        <v>104</v>
      </c>
      <c r="F7" s="19" t="s">
        <v>104</v>
      </c>
      <c r="G7" s="83" t="str">
        <f t="shared" si="1"/>
        <v>#VALUE!</v>
      </c>
      <c r="H7" s="13"/>
    </row>
    <row r="8" ht="24.0" customHeight="1">
      <c r="A8" s="85" t="s">
        <v>277</v>
      </c>
      <c r="B8" s="2"/>
      <c r="C8" s="19" t="str">
        <f t="shared" ref="C8:F8" si="2">SUM(C5:C7)</f>
        <v>-325</v>
      </c>
      <c r="D8" s="66" t="str">
        <f t="shared" si="2"/>
        <v>26</v>
      </c>
      <c r="E8" s="82" t="str">
        <f t="shared" si="2"/>
        <v>11</v>
      </c>
      <c r="F8" s="19" t="str">
        <f t="shared" si="2"/>
        <v>46</v>
      </c>
      <c r="G8" s="86" t="str">
        <f t="shared" si="1"/>
        <v>-8%</v>
      </c>
      <c r="H8" s="13"/>
    </row>
    <row r="9">
      <c r="A9" s="68"/>
      <c r="B9" s="68"/>
      <c r="C9" s="68"/>
      <c r="D9" s="68"/>
      <c r="E9" s="68"/>
      <c r="F9" s="68"/>
      <c r="G9" s="68"/>
      <c r="H9" s="68"/>
    </row>
    <row r="10">
      <c r="A10" s="68"/>
      <c r="B10" s="68"/>
      <c r="C10" s="68"/>
      <c r="D10" s="68"/>
      <c r="E10" s="68"/>
      <c r="F10" s="68"/>
      <c r="G10" s="68"/>
      <c r="H10" s="68"/>
    </row>
    <row r="11" ht="21.75" customHeight="1">
      <c r="A11" s="87" t="s">
        <v>278</v>
      </c>
      <c r="B11" s="2"/>
      <c r="C11" s="2"/>
      <c r="D11" s="2"/>
      <c r="E11" s="2"/>
      <c r="F11" s="2"/>
      <c r="G11" s="2"/>
      <c r="H11" s="2"/>
    </row>
    <row r="12" ht="19.5" customHeight="1">
      <c r="A12" s="88" t="s">
        <v>279</v>
      </c>
      <c r="B12" s="2"/>
      <c r="C12" s="2"/>
      <c r="D12" s="2"/>
      <c r="E12" s="2"/>
      <c r="F12" s="2"/>
      <c r="G12" s="2"/>
      <c r="H12" s="2"/>
    </row>
    <row r="13" ht="19.5" customHeight="1">
      <c r="A13" s="89" t="s">
        <v>280</v>
      </c>
      <c r="B13" s="2"/>
      <c r="C13" s="2"/>
      <c r="D13" s="2"/>
      <c r="E13" s="2"/>
      <c r="F13" s="2"/>
      <c r="G13" s="2"/>
      <c r="H13" s="2"/>
    </row>
    <row r="14" ht="19.5" customHeight="1">
      <c r="A14" s="88" t="s">
        <v>281</v>
      </c>
      <c r="B14" s="2"/>
      <c r="C14" s="2"/>
      <c r="D14" s="2"/>
      <c r="E14" s="2"/>
      <c r="F14" s="2"/>
      <c r="G14" s="2"/>
      <c r="H14" s="2"/>
    </row>
    <row r="15" ht="19.5" customHeight="1">
      <c r="A15" s="89" t="s">
        <v>282</v>
      </c>
      <c r="B15" s="2"/>
      <c r="C15" s="2"/>
      <c r="D15" s="2"/>
      <c r="E15" s="2"/>
      <c r="F15" s="2"/>
      <c r="G15" s="2"/>
      <c r="H15" s="2"/>
    </row>
    <row r="16" ht="19.5" customHeight="1">
      <c r="A16" s="88" t="s">
        <v>283</v>
      </c>
      <c r="B16" s="2"/>
      <c r="C16" s="2"/>
      <c r="D16" s="2"/>
      <c r="E16" s="2"/>
      <c r="F16" s="2"/>
      <c r="G16" s="2"/>
      <c r="H16" s="2"/>
    </row>
    <row r="17" ht="19.5" customHeight="1">
      <c r="A17" s="89" t="s">
        <v>284</v>
      </c>
      <c r="B17" s="2"/>
      <c r="C17" s="2"/>
      <c r="D17" s="2"/>
      <c r="E17" s="2"/>
      <c r="F17" s="2"/>
      <c r="G17" s="2"/>
      <c r="H17" s="2"/>
    </row>
    <row r="18" ht="19.5" customHeight="1">
      <c r="A18" s="88" t="s">
        <v>285</v>
      </c>
      <c r="B18" s="2"/>
      <c r="C18" s="2"/>
      <c r="D18" s="2"/>
      <c r="E18" s="2"/>
      <c r="F18" s="2"/>
      <c r="G18" s="2"/>
      <c r="H18" s="2"/>
    </row>
    <row r="19" ht="19.5" customHeight="1">
      <c r="A19" s="89" t="s">
        <v>286</v>
      </c>
      <c r="B19" s="2"/>
      <c r="C19" s="2"/>
      <c r="D19" s="2"/>
      <c r="E19" s="2"/>
      <c r="F19" s="2"/>
      <c r="G19" s="2"/>
      <c r="H19" s="2"/>
    </row>
    <row r="20">
      <c r="A20" s="68"/>
      <c r="B20" s="68"/>
      <c r="C20" s="68"/>
      <c r="D20" s="68"/>
      <c r="E20" s="68"/>
      <c r="F20" s="68"/>
      <c r="G20" s="68"/>
      <c r="H20" s="68"/>
    </row>
    <row r="21" ht="15.75" customHeight="1">
      <c r="A21" s="68"/>
      <c r="B21" s="68"/>
      <c r="C21" s="68"/>
      <c r="D21" s="68"/>
      <c r="E21" s="68"/>
      <c r="F21" s="68"/>
      <c r="G21" s="68"/>
      <c r="H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</row>
    <row r="28" ht="15.75" customHeight="1">
      <c r="A28" s="68"/>
      <c r="B28" s="68"/>
      <c r="C28" s="68"/>
      <c r="D28" s="68"/>
      <c r="E28" s="68"/>
      <c r="F28" s="68"/>
      <c r="G28" s="68"/>
      <c r="H28" s="68"/>
    </row>
    <row r="29" ht="15.75" customHeight="1">
      <c r="A29" s="68"/>
      <c r="B29" s="68"/>
      <c r="C29" s="68"/>
      <c r="D29" s="68"/>
      <c r="E29" s="68"/>
      <c r="F29" s="68"/>
      <c r="G29" s="68"/>
      <c r="H29" s="68"/>
    </row>
    <row r="30" ht="15.75" customHeight="1">
      <c r="A30" s="68"/>
      <c r="B30" s="68"/>
      <c r="C30" s="68"/>
      <c r="D30" s="68"/>
      <c r="E30" s="68"/>
      <c r="F30" s="68"/>
      <c r="G30" s="68"/>
      <c r="H30" s="68"/>
    </row>
    <row r="31" ht="15.75" customHeight="1">
      <c r="A31" s="68"/>
      <c r="B31" s="68"/>
      <c r="C31" s="68"/>
      <c r="D31" s="68"/>
      <c r="E31" s="68"/>
      <c r="F31" s="68"/>
      <c r="G31" s="68"/>
      <c r="H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</row>
    <row r="35" ht="15.75" customHeight="1">
      <c r="A35" s="68"/>
      <c r="B35" s="68"/>
      <c r="C35" s="68"/>
      <c r="D35" s="68"/>
      <c r="E35" s="68"/>
      <c r="F35" s="68"/>
      <c r="G35" s="68"/>
      <c r="H35" s="68"/>
    </row>
    <row r="36" ht="15.75" customHeight="1">
      <c r="A36" s="68"/>
      <c r="B36" s="68"/>
      <c r="C36" s="68"/>
      <c r="D36" s="68"/>
      <c r="E36" s="68"/>
      <c r="F36" s="68"/>
      <c r="G36" s="68"/>
      <c r="H36" s="68"/>
    </row>
    <row r="37" ht="15.75" customHeight="1">
      <c r="A37" s="68"/>
      <c r="B37" s="68"/>
      <c r="C37" s="68"/>
      <c r="D37" s="68"/>
      <c r="E37" s="68"/>
      <c r="F37" s="68"/>
      <c r="G37" s="68"/>
      <c r="H37" s="68"/>
    </row>
    <row r="38" ht="15.75" customHeight="1">
      <c r="A38" s="68"/>
      <c r="B38" s="68"/>
      <c r="C38" s="68"/>
      <c r="D38" s="68"/>
      <c r="E38" s="68"/>
      <c r="F38" s="68"/>
      <c r="G38" s="68"/>
      <c r="H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3">
    <mergeCell ref="A12:H12"/>
    <mergeCell ref="A11:H11"/>
    <mergeCell ref="A2:C2"/>
    <mergeCell ref="D2:F2"/>
    <mergeCell ref="A1:H1"/>
    <mergeCell ref="A8:B8"/>
    <mergeCell ref="A16:H16"/>
    <mergeCell ref="A17:H17"/>
    <mergeCell ref="A18:H18"/>
    <mergeCell ref="A19:H19"/>
    <mergeCell ref="A13:H13"/>
    <mergeCell ref="A15:H15"/>
    <mergeCell ref="A14:H14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Lembar kerja</vt:lpstr>
      </vt:variant>
      <vt:variant>
        <vt:i4>6</vt:i4>
      </vt:variant>
    </vt:vector>
  </HeadingPairs>
  <TitlesOfParts>
    <vt:vector baseType="lpstr" size="6">
      <vt:lpstr>⚙️ Master Threshold</vt:lpstr>
      <vt:lpstr>Meja Biru + Chiller</vt:lpstr>
      <vt:lpstr>Freezer &amp; Alat</vt:lpstr>
      <vt:lpstr>Meja Laci (2)</vt:lpstr>
      <vt:lpstr>Gas &amp; Utilitas</vt:lpstr>
      <vt:lpstr>📊 Dashboard Rekap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2026-08-23T09:27:48Z</dcterms:created>
  <dc:creator>Candra setiaji</dc:creator>
</cp:coreProperties>
</file>